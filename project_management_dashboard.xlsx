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mc:AlternateContent xmlns:mc="http://schemas.openxmlformats.org/markup-compatibility/2006">
    <mc:Choice Requires="x15">
      <x15ac:absPath xmlns:x15ac="http://schemas.microsoft.com/office/spreadsheetml/2010/11/ac" url="C:\Users\Legion\Downloads\"/>
    </mc:Choice>
  </mc:AlternateContent>
  <xr:revisionPtr revIDLastSave="0" documentId="13_ncr:1_{4BBA3E42-2E82-4D98-8EE1-6BB738687600}" xr6:coauthVersionLast="47" xr6:coauthVersionMax="47" xr10:uidLastSave="{00000000-0000-0000-0000-000000000000}"/>
  <bookViews>
    <workbookView xWindow="-110" yWindow="-110" windowWidth="25820" windowHeight="15500" tabRatio="664" xr2:uid="{599CBDBA-6DCB-491A-8F55-440439BE8440}"/>
  </bookViews>
  <sheets>
    <sheet name="Data" sheetId="1" r:id="rId1"/>
    <sheet name="Workings" sheetId="4" r:id="rId2"/>
    <sheet name="Dashboard" sheetId="3" r:id="rId3"/>
  </sheets>
  <definedNames>
    <definedName name="_xlnm.Print_Area" localSheetId="2">Dashboard!$A$1:$X$46</definedName>
    <definedName name="Slicer_Manager">#N/A</definedName>
    <definedName name="Slicer_Projec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2" i="1" l="1"/>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1" i="3"/>
  <c r="K5" i="3" l="1" a="1"/>
  <c r="K5" i="3" s="1"/>
  <c r="F2" i="4" l="1"/>
  <c r="F3" i="4" l="1"/>
  <c r="M3" i="4"/>
  <c r="G3" i="4"/>
  <c r="G5" i="4"/>
  <c r="G4" i="4"/>
  <c r="N3" i="4"/>
  <c r="N4" i="4"/>
  <c r="G2" i="4"/>
  <c r="C5" i="4"/>
  <c r="G6" i="4"/>
  <c r="F5" i="4" l="1"/>
  <c r="F4" i="4" l="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B4" i="4"/>
  <c r="C4" i="4" l="1"/>
  <c r="F6" i="4" l="1"/>
  <c r="M4" i="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<sst xmlns="http://schemas.openxmlformats.org/spreadsheetml/2006/main" count="248" uniqueCount="54">
  <si>
    <t>Project</t>
  </si>
  <si>
    <t>Task</t>
  </si>
  <si>
    <t>Start Date</t>
  </si>
  <si>
    <t>Progress</t>
  </si>
  <si>
    <t>Task 1</t>
  </si>
  <si>
    <t>Task 2</t>
  </si>
  <si>
    <t>Task 3</t>
  </si>
  <si>
    <t>Task 4</t>
  </si>
  <si>
    <t>Task 5</t>
  </si>
  <si>
    <t>Task 6</t>
  </si>
  <si>
    <t>Task 7</t>
  </si>
  <si>
    <t>Task 8</t>
  </si>
  <si>
    <t>Task 9</t>
  </si>
  <si>
    <t>Budget</t>
  </si>
  <si>
    <t>Actual</t>
  </si>
  <si>
    <t>Gemini</t>
  </si>
  <si>
    <t>Orion</t>
  </si>
  <si>
    <t>Vega</t>
  </si>
  <si>
    <t>Delta</t>
  </si>
  <si>
    <t>Alpha</t>
  </si>
  <si>
    <t>Samora</t>
  </si>
  <si>
    <t>Ladd</t>
  </si>
  <si>
    <t>Duration</t>
  </si>
  <si>
    <t>Manager</t>
  </si>
  <si>
    <t>End Date</t>
  </si>
  <si>
    <t>Days completed</t>
  </si>
  <si>
    <t>Grand Total</t>
  </si>
  <si>
    <t>Days comp.</t>
  </si>
  <si>
    <t xml:space="preserve">Budget </t>
  </si>
  <si>
    <t xml:space="preserve">Actual </t>
  </si>
  <si>
    <t>Project Management Dashboard</t>
  </si>
  <si>
    <t>Values</t>
  </si>
  <si>
    <t>Total Tasks</t>
  </si>
  <si>
    <t>In Progress</t>
  </si>
  <si>
    <t>Completed</t>
  </si>
  <si>
    <t>Hirsch</t>
  </si>
  <si>
    <t>Wood</t>
  </si>
  <si>
    <t>McFay</t>
  </si>
  <si>
    <t>Not Started</t>
  </si>
  <si>
    <t>Scroll bar position</t>
  </si>
  <si>
    <t>%</t>
  </si>
  <si>
    <t>Formula</t>
  </si>
  <si>
    <t>Remaining</t>
  </si>
  <si>
    <t xml:space="preserve">Days completed </t>
  </si>
  <si>
    <t>Tasks Bar Chart</t>
  </si>
  <si>
    <t>Budget v Actual Doughnut &amp; Bar Chart</t>
  </si>
  <si>
    <t>Overall Progress - Days Completed v Duration Doughnut Chart</t>
  </si>
  <si>
    <t>Days Remaining</t>
  </si>
  <si>
    <t xml:space="preserve">Duration </t>
  </si>
  <si>
    <t>Days Completed</t>
  </si>
  <si>
    <t>Doughnut Chart</t>
  </si>
  <si>
    <t>Bar Chart</t>
  </si>
  <si>
    <t>Dougnut Chart</t>
  </si>
  <si>
    <t>Task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</si>
</sst>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m"/>
    <numFmt numFmtId="165" formatCode="0\ &quot;Days&quot;"/>
    <numFmt numFmtId="166" formatCode="[$-F800]dddd\,\ mmmm\ dd\,\ yyyy"/>
    <numFmt numFmtId="167" formatCode="#,##0.0,,&quot;M&quot;"/>
  </numFmts>
  <fonts count="9"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1"/>
      <color theme="1"/>
      <name val="Segoe UI"/>
      <family val="2"/>
    </font>
    <font>
      <sz val="11"/>
      <color theme="0"/>
      <name val="Segoe UI"/>
      <family val="2"/>
    </font>
    <font>
      <sz val="14"/>
      <color theme="0"/>
      <name val="Segoe UI"/>
      <family val="2"/>
    </font>
    <font>
      <sz val="18"/>
      <color theme="0"/>
      <name val="Segoe UI"/>
      <family val="2"/>
    </font>
    <font>
      <sz val="12"/>
      <color theme="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1" tint="0.499984740745262"/>
        <bgColor indexed="64"/>
      </patternFill>
    </fill>
  </fills>
  <borders count="3">
    <border>
      <left/>
      <right/>
      <top/>
      <bottom/>
      <diagonal/>
    </border>
    <border>
      <left/>
      <right/>
      <top/>
      <bottom style="thin">
        <color indexed="64"/>
      </bottom>
      <diagonal/>
    </border>
    <border>
      <left style="thin">
        <color theme="0"/>
      </left>
      <right style="thin">
        <color theme="0"/>
      </right>
      <top/>
      <bottom/>
      <diagonal/>
    </border>
  </borders>
  <cellStyleXfs count="2">
    <xf numFmtId="0" fontId="0" fillId="0" borderId="0"/>
    <xf numFmtId="9" fontId="1" fillId="0" borderId="0" applyFont="0" applyFill="0" applyBorder="0" applyAlignment="0" applyProtection="0"/>
  </cellStyleXfs>
  <cellXfs count="39">
    <xf numFmtId="0" fontId="0" fillId="0" borderId="0" xfId="0"/>
    <xf numFmtId="14" fontId="0" fillId="0" borderId="0" xfId="0" applyNumberFormat="1"/>
    <xf numFmtId="9" fontId="0" fillId="0" borderId="0" xfId="1" applyFont="1"/>
    <xf numFmtId="3"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14" fontId="0" fillId="0" borderId="0" xfId="0" applyNumberFormat="1" applyAlignment="1">
      <alignment horizontal="center"/>
    </xf>
    <xf numFmtId="164" fontId="0" fillId="0" borderId="0" xfId="0" applyNumberFormat="1" applyAlignment="1">
      <alignment vertical="center"/>
    </xf>
    <xf numFmtId="0" fontId="0" fillId="0" borderId="0" xfId="0" applyAlignment="1">
      <alignment vertical="center"/>
    </xf>
    <xf numFmtId="9" fontId="0" fillId="0" borderId="0" xfId="0" applyNumberFormat="1"/>
    <xf numFmtId="3" fontId="0" fillId="0" borderId="0" xfId="0" applyNumberFormat="1" applyAlignment="1">
      <alignment horizontal="center"/>
    </xf>
    <xf numFmtId="164" fontId="0" fillId="0" borderId="0" xfId="0" pivotButton="1" applyNumberFormat="1" applyAlignment="1">
      <alignment vertical="center"/>
    </xf>
    <xf numFmtId="9" fontId="0" fillId="0" borderId="0" xfId="1" applyFont="1" applyAlignment="1"/>
    <xf numFmtId="9" fontId="0" fillId="0" borderId="0" xfId="1" applyFont="1" applyBorder="1" applyAlignment="1"/>
    <xf numFmtId="0" fontId="0" fillId="0" borderId="1" xfId="0" pivotButton="1" applyBorder="1" applyAlignment="1">
      <alignment vertical="center"/>
    </xf>
    <xf numFmtId="0" fontId="0" fillId="0" borderId="1" xfId="0" pivotButton="1" applyBorder="1" applyAlignment="1">
      <alignment horizontal="left" vertical="center"/>
    </xf>
    <xf numFmtId="0" fontId="0" fillId="0" borderId="1" xfId="0" applyBorder="1" applyAlignment="1">
      <alignment horizontal="right" vertical="center"/>
    </xf>
    <xf numFmtId="0" fontId="2" fillId="0" borderId="0" xfId="0" applyFont="1"/>
    <xf numFmtId="0" fontId="4" fillId="0" borderId="0" xfId="0" applyFont="1" applyAlignment="1">
      <alignment horizontal="right" vertical="top"/>
    </xf>
    <xf numFmtId="166" fontId="0" fillId="0" borderId="0" xfId="0" applyNumberFormat="1"/>
    <xf numFmtId="164" fontId="0" fillId="2" borderId="2" xfId="0" applyNumberFormat="1" applyFill="1" applyBorder="1" applyAlignment="1">
      <alignment vertical="center"/>
    </xf>
    <xf numFmtId="167" fontId="0" fillId="0" borderId="0" xfId="0" applyNumberFormat="1"/>
    <xf numFmtId="0" fontId="3" fillId="3" borderId="0" xfId="0" applyFont="1" applyFill="1"/>
    <xf numFmtId="14" fontId="3" fillId="3" borderId="0" xfId="0" applyNumberFormat="1" applyFont="1" applyFill="1" applyAlignment="1">
      <alignment horizontal="center"/>
    </xf>
    <xf numFmtId="0" fontId="3" fillId="3" borderId="0" xfId="0" applyFont="1" applyFill="1" applyAlignment="1">
      <alignment horizontal="center"/>
    </xf>
    <xf numFmtId="0" fontId="5" fillId="3" borderId="0" xfId="0" applyFont="1" applyFill="1" applyAlignment="1">
      <alignment horizontal="center" vertical="center"/>
    </xf>
    <xf numFmtId="15" fontId="5" fillId="3" borderId="0" xfId="1" applyNumberFormat="1" applyFont="1" applyFill="1" applyAlignment="1">
      <alignment horizontal="left" vertical="center"/>
    </xf>
    <xf numFmtId="165" fontId="5" fillId="3" borderId="0" xfId="1" applyNumberFormat="1" applyFont="1" applyFill="1" applyAlignment="1">
      <alignment horizontal="center" vertical="center"/>
    </xf>
    <xf numFmtId="15" fontId="6" fillId="3" borderId="0" xfId="1" applyNumberFormat="1" applyFont="1" applyFill="1" applyAlignment="1">
      <alignment horizontal="left" vertical="center"/>
    </xf>
    <xf numFmtId="0" fontId="7" fillId="3" borderId="0" xfId="0" applyFont="1" applyFill="1" applyAlignment="1">
      <alignment vertical="center"/>
    </xf>
    <xf numFmtId="0" fontId="0" fillId="0" borderId="1" xfId="0" applyBorder="1" applyAlignment="1">
      <alignment horizontal="center"/>
    </xf>
    <xf numFmtId="0" fontId="0" fillId="0" borderId="1" xfId="0" applyBorder="1" applyAlignment="1">
      <alignment vertical="center"/>
    </xf>
    <xf numFmtId="0" fontId="8" fillId="3" borderId="0" xfId="0" applyFont="1" applyFill="1" applyAlignment="1">
      <alignment vertical="center"/>
    </xf>
    <xf numFmtId="9" fontId="0" fillId="0" borderId="0" xfId="1" applyFont="1" applyAlignment="1">
      <alignment horizontal="center"/>
    </xf>
    <xf numFmtId="0" fontId="2" fillId="0" borderId="0" xfId="0" applyFont="1" applyAlignment="1">
      <alignment horizontal="center"/>
    </xf>
    <xf numFmtId="0" fontId="2" fillId="0" borderId="0" xfId="0" applyFont="1" applyAlignment="1">
      <alignment horizontal="left"/>
    </xf>
    <xf numFmtId="0" fontId="2" fillId="0" borderId="1" xfId="0" applyFont="1" applyBorder="1" applyAlignment="1">
      <alignment vertical="center"/>
    </xf>
    <xf numFmtId="0" fontId="2" fillId="0" borderId="1" xfId="0" applyFont="1" applyBorder="1"/>
  </cellXfs>
  <cellStyles count="2">
    <cellStyle name="Normal" xfId="0" builtinId="0"/>
    <cellStyle name="Percent" xfId="1" builtinId="5"/>
  </cellStyles>
  <dxfs count="64">
    <dxf>
      <border>
        <bottom style="thin">
          <color auto="1"/>
        </bottom>
        <vertical/>
        <horizontal/>
      </border>
    </dxf>
    <dxf>
      <fill>
        <patternFill>
          <bgColor rgb="FFFF7D7D"/>
        </patternFill>
      </fill>
      <border>
        <top style="thin">
          <color theme="0"/>
        </top>
        <bottom style="thin">
          <color theme="0"/>
        </bottom>
      </border>
    </dxf>
    <dxf>
      <border>
        <left style="thin">
          <color rgb="FFFF7D7D"/>
        </left>
        <right style="thin">
          <color rgb="FFFF7D7D"/>
        </right>
        <top style="thin">
          <color rgb="FFFF7D7D"/>
        </top>
        <bottom style="thin">
          <color rgb="FFFF7D7D"/>
        </bottom>
        <vertical/>
        <horizontal/>
      </border>
    </dxf>
    <dxf>
      <fill>
        <patternFill>
          <bgColor theme="5" tint="0.39994506668294322"/>
        </patternFill>
      </fill>
      <border>
        <left/>
        <right/>
        <top style="thin">
          <color theme="0"/>
        </top>
        <bottom style="thin">
          <color theme="0"/>
        </bottom>
      </border>
    </dxf>
    <dxf>
      <fill>
        <patternFill patternType="lightUp"/>
      </fill>
    </dxf>
    <dxf>
      <fill>
        <patternFill>
          <bgColor theme="0" tint="-0.14996795556505021"/>
        </patternFill>
      </fill>
    </dxf>
    <dxf>
      <numFmt numFmtId="3" formatCode="#,##0"/>
    </dxf>
    <dxf>
      <numFmt numFmtId="3" formatCode="#,##0"/>
    </dxf>
    <dxf>
      <font>
        <b val="0"/>
        <i val="0"/>
        <strike val="0"/>
        <condense val="0"/>
        <extend val="0"/>
        <outline val="0"/>
        <shadow val="0"/>
        <u val="none"/>
        <vertAlign val="baseline"/>
        <sz val="11"/>
        <color theme="1"/>
        <name val="Calibri"/>
        <family val="2"/>
        <scheme val="minor"/>
      </font>
    </dxf>
    <dxf>
      <numFmt numFmtId="3" formatCode="#,##0"/>
    </dxf>
    <dxf>
      <numFmt numFmtId="170" formatCode="d/mm/yyyy"/>
    </dxf>
    <dxf>
      <numFmt numFmtId="170" formatCode="d/mm/yyyy"/>
    </dxf>
    <dxf>
      <alignment horizontal="center"/>
    </dxf>
    <dxf>
      <alignment horizontal="center"/>
    </dxf>
    <dxf>
      <alignment horizontal="general"/>
    </dxf>
    <dxf>
      <alignment horizontal="general"/>
    </dxf>
    <dxf>
      <alignment horizontal="general"/>
    </dxf>
    <dxf>
      <alignment horizontal="general"/>
    </dxf>
    <dxf>
      <alignment horizontal="left"/>
    </dxf>
    <dxf>
      <alignment horizontal="lef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ont>
        <b val="0"/>
      </font>
    </dxf>
    <dxf>
      <font>
        <b val="0"/>
      </font>
    </dxf>
    <dxf>
      <font>
        <b val="0"/>
      </font>
    </dxf>
    <dxf>
      <font>
        <b val="0"/>
      </font>
    </dxf>
    <dxf>
      <font>
        <b val="0"/>
      </font>
    </dxf>
    <dxf>
      <font>
        <b val="0"/>
      </font>
    </dxf>
    <dxf>
      <font>
        <b val="0"/>
      </font>
    </dxf>
    <dxf>
      <font>
        <b val="0"/>
      </font>
    </dxf>
    <dxf>
      <font>
        <b val="0"/>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ont>
        <b/>
      </font>
    </dxf>
    <dxf>
      <font>
        <b/>
      </font>
    </dxf>
    <dxf>
      <font>
        <b/>
      </font>
    </dxf>
    <dxf>
      <alignment horizontal="left"/>
    </dxf>
    <dxf>
      <alignment horizontal="left"/>
    </dxf>
    <dxf>
      <alignment horizontal="left"/>
    </dxf>
    <dxf>
      <alignment horizontal="left"/>
    </dxf>
    <dxf>
      <alignment horizontal="left"/>
    </dxf>
    <dxf>
      <alignment horizontal="right"/>
    </dxf>
    <dxf>
      <font>
        <b/>
        <color theme="1"/>
      </font>
      <border>
        <bottom style="thin">
          <color theme="8"/>
        </bottom>
        <vertical/>
        <horizontal/>
      </border>
    </dxf>
    <dxf>
      <font>
        <color theme="1"/>
      </font>
      <fill>
        <patternFill patternType="none">
          <bgColor auto="1"/>
        </patternFill>
      </fill>
      <border diagonalUp="0" diagonalDown="0">
        <left/>
        <right/>
        <top/>
        <bottom/>
        <vertical/>
        <horizontal/>
      </border>
    </dxf>
  </dxfs>
  <tableStyles count="1" defaultTableStyle="TableStyleMedium2" defaultPivotStyle="PivotStyleLight16">
    <tableStyle name="No Border" pivot="0" table="0" count="10" xr9:uid="{EEEA172B-89F3-489D-B80E-D598FE9BFA19}">
      <tableStyleElement type="wholeTable" dxfId="63"/>
      <tableStyleElement type="headerRow" dxfId="62"/>
    </tableStyle>
  </tableStyles>
  <colors>
    <mruColors>
      <color rgb="FFFF7D7D"/>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5">
        <x14:slicerStyle name="No Bord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983245018900938"/>
          <c:y val="0.34339216218662316"/>
          <c:w val="0.45387741626636291"/>
          <c:h val="0.62212507919268711"/>
        </c:manualLayout>
      </c:layout>
      <c:doughnutChart>
        <c:varyColors val="1"/>
        <c:ser>
          <c:idx val="0"/>
          <c:order val="0"/>
          <c:spPr>
            <a:solidFill>
              <a:schemeClr val="accent6">
                <a:lumMod val="60000"/>
                <a:lumOff val="40000"/>
              </a:schemeClr>
            </a:solidFill>
          </c:spPr>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C421-4E68-8224-5224CC7ECE7A}"/>
              </c:ext>
            </c:extLst>
          </c:dPt>
          <c:dPt>
            <c:idx val="1"/>
            <c:bubble3D val="0"/>
            <c:spPr>
              <a:solidFill>
                <a:srgbClr val="FF7D7D"/>
              </a:solidFill>
              <a:ln w="19050">
                <a:solidFill>
                  <a:schemeClr val="lt1"/>
                </a:solidFill>
              </a:ln>
              <a:effectLst/>
            </c:spPr>
            <c:extLst>
              <c:ext xmlns:c16="http://schemas.microsoft.com/office/drawing/2014/chart" uri="{C3380CC4-5D6E-409C-BE32-E72D297353CC}">
                <c16:uniqueId val="{00000003-C421-4E68-8224-5224CC7ECE7A}"/>
              </c:ext>
            </c:extLst>
          </c:dPt>
          <c:cat>
            <c:strRef>
              <c:f>Workings!$B$2:$C$2</c:f>
              <c:strCache>
                <c:ptCount val="2"/>
                <c:pt idx="0">
                  <c:v>Actual </c:v>
                </c:pt>
                <c:pt idx="1">
                  <c:v>Budget </c:v>
                </c:pt>
              </c:strCache>
            </c:strRef>
          </c:cat>
          <c:val>
            <c:numRef>
              <c:f>Workings!$B$4:$C$4</c:f>
              <c:numCache>
                <c:formatCode>0%</c:formatCode>
                <c:ptCount val="2"/>
                <c:pt idx="0">
                  <c:v>0.42347250571210965</c:v>
                </c:pt>
                <c:pt idx="1">
                  <c:v>0.57652749428789041</c:v>
                </c:pt>
              </c:numCache>
            </c:numRef>
          </c:val>
          <c:extLst>
            <c:ext xmlns:c16="http://schemas.microsoft.com/office/drawing/2014/chart" uri="{C3380CC4-5D6E-409C-BE32-E72D297353CC}">
              <c16:uniqueId val="{00000004-C421-4E68-8224-5224CC7ECE7A}"/>
            </c:ext>
          </c:extLst>
        </c:ser>
        <c:dLbls>
          <c:showLegendKey val="0"/>
          <c:showVal val="0"/>
          <c:showCatName val="0"/>
          <c:showSerName val="0"/>
          <c:showPercent val="0"/>
          <c:showBubbleSize val="0"/>
          <c:showLeaderLines val="1"/>
        </c:dLbls>
        <c:firstSliceAng val="0"/>
        <c:holeSize val="5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[project_management_dashboard.xlsx]Workings!Budget_v_Actual</c:name>
    <c:fmtId val="21"/>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AU" sz="1200">
                <a:solidFill>
                  <a:schemeClr val="bg1"/>
                </a:solidFill>
                <a:latin typeface="Segoe UI" panose="020B0502040204020203" pitchFamily="34" charset="0"/>
                <a:cs typeface="Segoe UI" panose="020B0502040204020203" pitchFamily="34" charset="0"/>
              </a:rPr>
              <a:t>BUDGET VS ACTUAL</a:t>
            </a:r>
          </a:p>
        </c:rich>
      </c:tx>
      <c:layout>
        <c:manualLayout>
          <c:xMode val="edge"/>
          <c:yMode val="edge"/>
          <c:x val="5.0000167978861539E-2"/>
          <c:y val="9.0735482882157978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no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1"/>
          <c:showPercent val="0"/>
          <c:showBubbleSize val="0"/>
          <c:separator>
</c:separator>
          <c:extLst>
            <c:ext xmlns:c15="http://schemas.microsoft.com/office/drawing/2012/chart" uri="{CE6537A1-D6FC-4f65-9D91-7224C49458BB}"/>
          </c:extLst>
        </c:dLbl>
      </c:pivotFmt>
      <c:pivotFmt>
        <c:idx val="2"/>
        <c:spPr>
          <a:noFill/>
          <a:ln w="19050">
            <a:solidFill>
              <a:schemeClr val="accen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1"/>
          <c:showPercent val="0"/>
          <c:showBubbleSize val="0"/>
          <c:separator>
</c:separator>
          <c:extLst>
            <c:ext xmlns:c15="http://schemas.microsoft.com/office/drawing/2012/chart" uri="{CE6537A1-D6FC-4f65-9D91-7224C49458BB}">
              <c15:layout>
                <c:manualLayout>
                  <c:w val="0.53896382517402708"/>
                  <c:h val="0.16189814814814815"/>
                </c:manualLayout>
              </c15:layout>
            </c:ext>
          </c:extLst>
        </c:dLbl>
      </c:pivotFmt>
      <c:pivotFmt>
        <c:idx val="3"/>
        <c:spPr>
          <a:solidFill>
            <a:schemeClr val="accent5">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1"/>
          <c:showPercent val="0"/>
          <c:showBubbleSize val="0"/>
          <c:separator>
</c:separator>
          <c:extLst>
            <c:ext xmlns:c15="http://schemas.microsoft.com/office/drawing/2012/chart" uri="{CE6537A1-D6FC-4f65-9D91-7224C49458BB}">
              <c15:layout>
                <c:manualLayout>
                  <c:w val="0.54425729392521582"/>
                  <c:h val="0.11560185185185186"/>
                </c:manualLayout>
              </c15:layout>
            </c:ext>
          </c:extLst>
        </c:dLbl>
      </c:pivotFmt>
      <c:pivotFmt>
        <c:idx val="4"/>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solidFill>
            <a:schemeClr val="accent5">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1"/>
          <c:showPercent val="0"/>
          <c:showBubbleSize val="0"/>
          <c:separator>
</c:separator>
          <c:extLst>
            <c:ext xmlns:c15="http://schemas.microsoft.com/office/drawing/2012/chart" uri="{CE6537A1-D6FC-4f65-9D91-7224C49458BB}">
              <c15:layout>
                <c:manualLayout>
                  <c:w val="0.54425729392521582"/>
                  <c:h val="0.11560185185185186"/>
                </c:manualLayout>
              </c15:layout>
            </c:ext>
          </c:extLst>
        </c:dLbl>
      </c:pivotFmt>
      <c:pivotFmt>
        <c:idx val="6"/>
        <c:spPr>
          <a:no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1"/>
          <c:showPercent val="0"/>
          <c:showBubbleSize val="0"/>
          <c:separator>
</c:separator>
          <c:extLst>
            <c:ext xmlns:c15="http://schemas.microsoft.com/office/drawing/2012/chart" uri="{CE6537A1-D6FC-4f65-9D91-7224C49458BB}"/>
          </c:extLst>
        </c:dLbl>
      </c:pivotFmt>
      <c:pivotFmt>
        <c:idx val="7"/>
        <c:spPr>
          <a:noFill/>
          <a:ln w="19050">
            <a:solidFill>
              <a:schemeClr val="accen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1"/>
          <c:showPercent val="0"/>
          <c:showBubbleSize val="0"/>
          <c:separator>
</c:separator>
          <c:extLst>
            <c:ext xmlns:c15="http://schemas.microsoft.com/office/drawing/2012/chart" uri="{CE6537A1-D6FC-4f65-9D91-7224C49458BB}">
              <c15:layout>
                <c:manualLayout>
                  <c:w val="0.53896382517402708"/>
                  <c:h val="0.16189814814814815"/>
                </c:manualLayout>
              </c15:layout>
            </c:ext>
          </c:extLst>
        </c:dLbl>
      </c:pivotFmt>
      <c:pivotFmt>
        <c:idx val="8"/>
        <c:spPr>
          <a:solidFill>
            <a:schemeClr val="accent6">
              <a:lumMod val="40000"/>
              <a:lumOff val="6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9"/>
        <c:spPr>
          <a:solidFill>
            <a:schemeClr val="accent6">
              <a:lumMod val="40000"/>
              <a:lumOff val="60000"/>
            </a:schemeClr>
          </a:solidFill>
          <a:ln w="19050">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1"/>
          <c:showPercent val="0"/>
          <c:showBubbleSize val="0"/>
          <c:separator>
</c:separator>
          <c:extLst>
            <c:ext xmlns:c15="http://schemas.microsoft.com/office/drawing/2012/chart" uri="{CE6537A1-D6FC-4f65-9D91-7224C49458BB}">
              <c15:layout>
                <c:manualLayout>
                  <c:w val="0.74695964965925221"/>
                  <c:h val="0.32496830203916816"/>
                </c:manualLayout>
              </c15:layout>
            </c:ext>
          </c:extLst>
        </c:dLbl>
      </c:pivotFmt>
      <c:pivotFmt>
        <c:idx val="10"/>
        <c:spPr>
          <a:noFill/>
          <a:ln w="25400">
            <a:solidFill>
              <a:srgbClr val="FF7D7D"/>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1"/>
          <c:showPercent val="0"/>
          <c:showBubbleSize val="0"/>
          <c:separator>
</c:separator>
          <c:extLst>
            <c:ext xmlns:c15="http://schemas.microsoft.com/office/drawing/2012/chart" uri="{CE6537A1-D6FC-4f65-9D91-7224C49458BB}"/>
          </c:extLst>
        </c:dLbl>
      </c:pivotFmt>
      <c:pivotFmt>
        <c:idx val="11"/>
        <c:spPr>
          <a:noFill/>
          <a:ln w="25400">
            <a:solidFill>
              <a:srgbClr val="FF7D7D"/>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1"/>
          <c:showPercent val="0"/>
          <c:showBubbleSize val="0"/>
          <c:separator>
</c:separator>
          <c:extLst>
            <c:ext xmlns:c15="http://schemas.microsoft.com/office/drawing/2012/chart" uri="{CE6537A1-D6FC-4f65-9D91-7224C49458BB}">
              <c15:layout>
                <c:manualLayout>
                  <c:w val="0.84315575297659517"/>
                  <c:h val="0.2831108419139915"/>
                </c:manualLayout>
              </c15:layout>
            </c:ext>
          </c:extLst>
        </c:dLbl>
      </c:pivotFmt>
      <c:pivotFmt>
        <c:idx val="12"/>
        <c:spPr>
          <a:solidFill>
            <a:schemeClr val="accent2">
              <a:lumMod val="60000"/>
              <a:lumOff val="4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eparator>
</c:separator>
          <c:extLst>
            <c:ext xmlns:c15="http://schemas.microsoft.com/office/drawing/2012/chart" uri="{CE6537A1-D6FC-4f65-9D91-7224C49458BB}"/>
          </c:extLst>
        </c:dLbl>
      </c:pivotFmt>
      <c:pivotFmt>
        <c:idx val="13"/>
        <c:spPr>
          <a:solidFill>
            <a:schemeClr val="accent2">
              <a:lumMod val="60000"/>
              <a:lumOff val="40000"/>
            </a:schemeClr>
          </a:solidFill>
          <a:ln w="19050">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15:layout>
                <c:manualLayout>
                  <c:w val="0.35721634789715495"/>
                  <c:h val="0.32496830203916816"/>
                </c:manualLayout>
              </c15:layout>
            </c:ext>
          </c:extLst>
        </c:dLbl>
      </c:pivotFmt>
      <c:pivotFmt>
        <c:idx val="14"/>
        <c:spPr>
          <a:solidFill>
            <a:srgbClr val="FF7D7D"/>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1"/>
          <c:showPercent val="0"/>
          <c:showBubbleSize val="0"/>
          <c:separator>
</c:separator>
          <c:extLst>
            <c:ext xmlns:c15="http://schemas.microsoft.com/office/drawing/2012/chart" uri="{CE6537A1-D6FC-4f65-9D91-7224C49458BB}"/>
          </c:extLst>
        </c:dLbl>
      </c:pivotFmt>
      <c:pivotFmt>
        <c:idx val="15"/>
        <c:spPr>
          <a:solidFill>
            <a:srgbClr val="FF7D7D"/>
          </a:solidFill>
          <a:ln w="19050">
            <a:noFill/>
          </a:ln>
          <a:effectLst/>
        </c:spPr>
        <c:dLbl>
          <c:idx val="0"/>
          <c:layout>
            <c:manualLayout>
              <c:x val="-4.6153808880428929E-2"/>
              <c:y val="4.0379567938623056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15:layout>
                <c:manualLayout>
                  <c:w val="0.43802791195000046"/>
                  <c:h val="0.2831108419139915"/>
                </c:manualLayout>
              </c15:layout>
            </c:ext>
          </c:extLst>
        </c:dLbl>
      </c:pivotFmt>
    </c:pivotFmts>
    <c:plotArea>
      <c:layout>
        <c:manualLayout>
          <c:layoutTarget val="inner"/>
          <c:xMode val="edge"/>
          <c:yMode val="edge"/>
          <c:x val="6.6666666666666666E-2"/>
          <c:y val="0.33443684502940785"/>
          <c:w val="0.87878787878787878"/>
          <c:h val="0.61463685652432143"/>
        </c:manualLayout>
      </c:layout>
      <c:barChart>
        <c:barDir val="bar"/>
        <c:grouping val="clustered"/>
        <c:varyColors val="0"/>
        <c:ser>
          <c:idx val="0"/>
          <c:order val="0"/>
          <c:tx>
            <c:strRef>
              <c:f>Workings!$B$2</c:f>
              <c:strCache>
                <c:ptCount val="1"/>
                <c:pt idx="0">
                  <c:v>Actual </c:v>
                </c:pt>
              </c:strCache>
            </c:strRef>
          </c:tx>
          <c:spPr>
            <a:solidFill>
              <a:schemeClr val="accent2">
                <a:lumMod val="60000"/>
                <a:lumOff val="40000"/>
              </a:schemeClr>
            </a:solidFill>
            <a:ln w="19050">
              <a:noFill/>
            </a:ln>
            <a:effectLst/>
          </c:spPr>
          <c:invertIfNegative val="0"/>
          <c:dPt>
            <c:idx val="0"/>
            <c:invertIfNegative val="0"/>
            <c:bubble3D val="0"/>
            <c:spPr>
              <a:solidFill>
                <a:schemeClr val="accent2">
                  <a:lumMod val="60000"/>
                  <a:lumOff val="40000"/>
                </a:schemeClr>
              </a:solidFill>
              <a:ln w="19050">
                <a:noFill/>
              </a:ln>
              <a:effectLst/>
            </c:spPr>
            <c:extLst>
              <c:ext xmlns:c16="http://schemas.microsoft.com/office/drawing/2014/chart" uri="{C3380CC4-5D6E-409C-BE32-E72D297353CC}">
                <c16:uniqueId val="{00000000-3E89-438F-9816-332D1E0E14DC}"/>
              </c:ext>
            </c:extLst>
          </c:dPt>
          <c:dLbls>
            <c:dLbl>
              <c:idx val="0"/>
              <c:dLblPos val="outEnd"/>
              <c:showLegendKey val="0"/>
              <c:showVal val="1"/>
              <c:showCatName val="0"/>
              <c:showSerName val="1"/>
              <c:showPercent val="0"/>
              <c:showBubbleSize val="0"/>
              <c:separator>
</c:separator>
              <c:extLst>
                <c:ext xmlns:c15="http://schemas.microsoft.com/office/drawing/2012/chart" uri="{CE6537A1-D6FC-4f65-9D91-7224C49458BB}">
                  <c15:layout>
                    <c:manualLayout>
                      <c:w val="0.35721634789715495"/>
                      <c:h val="0.32496830203916816"/>
                    </c:manualLayout>
                  </c15:layout>
                </c:ext>
                <c:ext xmlns:c16="http://schemas.microsoft.com/office/drawing/2014/chart" uri="{C3380CC4-5D6E-409C-BE32-E72D297353CC}">
                  <c16:uniqueId val="{00000000-3E89-438F-9816-332D1E0E14DC}"/>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Workings!$B$3</c:f>
              <c:strCache>
                <c:ptCount val="1"/>
                <c:pt idx="0">
                  <c:v>Total</c:v>
                </c:pt>
              </c:strCache>
            </c:strRef>
          </c:cat>
          <c:val>
            <c:numRef>
              <c:f>Workings!$B$3</c:f>
              <c:numCache>
                <c:formatCode>#,##0.0,,"M"</c:formatCode>
                <c:ptCount val="1"/>
                <c:pt idx="0">
                  <c:v>8340291</c:v>
                </c:pt>
              </c:numCache>
            </c:numRef>
          </c:val>
          <c:extLst>
            <c:ext xmlns:c16="http://schemas.microsoft.com/office/drawing/2014/chart" uri="{C3380CC4-5D6E-409C-BE32-E72D297353CC}">
              <c16:uniqueId val="{00000001-3E89-438F-9816-332D1E0E14DC}"/>
            </c:ext>
          </c:extLst>
        </c:ser>
        <c:ser>
          <c:idx val="1"/>
          <c:order val="1"/>
          <c:tx>
            <c:strRef>
              <c:f>Workings!$C$2</c:f>
              <c:strCache>
                <c:ptCount val="1"/>
                <c:pt idx="0">
                  <c:v>Budget </c:v>
                </c:pt>
              </c:strCache>
            </c:strRef>
          </c:tx>
          <c:spPr>
            <a:solidFill>
              <a:srgbClr val="FF7D7D"/>
            </a:solidFill>
            <a:ln w="19050">
              <a:noFill/>
            </a:ln>
            <a:effectLst/>
          </c:spPr>
          <c:invertIfNegative val="0"/>
          <c:dPt>
            <c:idx val="0"/>
            <c:invertIfNegative val="0"/>
            <c:bubble3D val="0"/>
            <c:spPr>
              <a:solidFill>
                <a:srgbClr val="FF7D7D"/>
              </a:solidFill>
              <a:ln w="19050">
                <a:noFill/>
              </a:ln>
              <a:effectLst/>
            </c:spPr>
            <c:extLst>
              <c:ext xmlns:c16="http://schemas.microsoft.com/office/drawing/2014/chart" uri="{C3380CC4-5D6E-409C-BE32-E72D297353CC}">
                <c16:uniqueId val="{00000002-3E89-438F-9816-332D1E0E14DC}"/>
              </c:ext>
            </c:extLst>
          </c:dPt>
          <c:dLbls>
            <c:dLbl>
              <c:idx val="0"/>
              <c:layout>
                <c:manualLayout>
                  <c:x val="-4.6153808880428929E-2"/>
                  <c:y val="4.0379567938623056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eparator>
</c:separator>
              <c:extLst>
                <c:ext xmlns:c15="http://schemas.microsoft.com/office/drawing/2012/chart" uri="{CE6537A1-D6FC-4f65-9D91-7224C49458BB}">
                  <c15:layout>
                    <c:manualLayout>
                      <c:w val="0.43802791195000046"/>
                      <c:h val="0.2831108419139915"/>
                    </c:manualLayout>
                  </c15:layout>
                </c:ext>
                <c:ext xmlns:c16="http://schemas.microsoft.com/office/drawing/2014/chart" uri="{C3380CC4-5D6E-409C-BE32-E72D297353CC}">
                  <c16:uniqueId val="{00000002-3E89-438F-9816-332D1E0E14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Workings!$B$3</c:f>
              <c:strCache>
                <c:ptCount val="1"/>
                <c:pt idx="0">
                  <c:v>Total</c:v>
                </c:pt>
              </c:strCache>
            </c:strRef>
          </c:cat>
          <c:val>
            <c:numRef>
              <c:f>Workings!$C$3</c:f>
              <c:numCache>
                <c:formatCode>#,##0.0,,"M"</c:formatCode>
                <c:ptCount val="1"/>
                <c:pt idx="0">
                  <c:v>19695000</c:v>
                </c:pt>
              </c:numCache>
            </c:numRef>
          </c:val>
          <c:extLst>
            <c:ext xmlns:c16="http://schemas.microsoft.com/office/drawing/2014/chart" uri="{C3380CC4-5D6E-409C-BE32-E72D297353CC}">
              <c16:uniqueId val="{00000003-3E89-438F-9816-332D1E0E14DC}"/>
            </c:ext>
          </c:extLst>
        </c:ser>
        <c:dLbls>
          <c:dLblPos val="inEnd"/>
          <c:showLegendKey val="0"/>
          <c:showVal val="1"/>
          <c:showCatName val="0"/>
          <c:showSerName val="0"/>
          <c:showPercent val="0"/>
          <c:showBubbleSize val="0"/>
        </c:dLbls>
        <c:gapWidth val="50"/>
        <c:overlap val="-30"/>
        <c:axId val="1464775599"/>
        <c:axId val="1415323359"/>
      </c:barChart>
      <c:catAx>
        <c:axId val="1464775599"/>
        <c:scaling>
          <c:orientation val="minMax"/>
        </c:scaling>
        <c:delete val="1"/>
        <c:axPos val="l"/>
        <c:numFmt formatCode="General" sourceLinked="1"/>
        <c:majorTickMark val="out"/>
        <c:minorTickMark val="none"/>
        <c:tickLblPos val="nextTo"/>
        <c:crossAx val="1415323359"/>
        <c:crosses val="autoZero"/>
        <c:auto val="1"/>
        <c:lblAlgn val="ctr"/>
        <c:lblOffset val="100"/>
        <c:noMultiLvlLbl val="0"/>
      </c:catAx>
      <c:valAx>
        <c:axId val="1415323359"/>
        <c:scaling>
          <c:orientation val="minMax"/>
        </c:scaling>
        <c:delete val="1"/>
        <c:axPos val="b"/>
        <c:numFmt formatCode="#,##0.0,,&quot;M&quot;" sourceLinked="1"/>
        <c:majorTickMark val="out"/>
        <c:minorTickMark val="none"/>
        <c:tickLblPos val="nextTo"/>
        <c:crossAx val="146477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200">
                <a:solidFill>
                  <a:schemeClr val="bg1"/>
                </a:solidFill>
                <a:latin typeface="Segoe UI" panose="020B0502040204020203" pitchFamily="34" charset="0"/>
                <a:cs typeface="Segoe UI" panose="020B0502040204020203" pitchFamily="34" charset="0"/>
              </a:rPr>
              <a:t>OVERALL TASK PROGRESS</a:t>
            </a:r>
          </a:p>
        </c:rich>
      </c:tx>
      <c:layout>
        <c:manualLayout>
          <c:xMode val="edge"/>
          <c:yMode val="edge"/>
          <c:x val="1.7230972084835771E-2"/>
          <c:y val="9.28540473963916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Workings!$E$2</c:f>
              <c:strCache>
                <c:ptCount val="1"/>
                <c:pt idx="0">
                  <c:v>Not Started</c:v>
                </c:pt>
              </c:strCache>
            </c:strRef>
          </c:tx>
          <c:spPr>
            <a:solidFill>
              <a:schemeClr val="bg1"/>
            </a:solidFill>
            <a:ln w="0">
              <a:solidFill>
                <a:srgbClr val="FF7D7D"/>
              </a:solid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Workings!$F$2</c:f>
              <c:numCache>
                <c:formatCode>General</c:formatCode>
                <c:ptCount val="1"/>
                <c:pt idx="0">
                  <c:v>4</c:v>
                </c:pt>
              </c:numCache>
            </c:numRef>
          </c:val>
          <c:extLst>
            <c:ext xmlns:c16="http://schemas.microsoft.com/office/drawing/2014/chart" uri="{C3380CC4-5D6E-409C-BE32-E72D297353CC}">
              <c16:uniqueId val="{00000000-B9CD-43E0-8125-26C857049AA3}"/>
            </c:ext>
          </c:extLst>
        </c:ser>
        <c:ser>
          <c:idx val="1"/>
          <c:order val="1"/>
          <c:tx>
            <c:strRef>
              <c:f>Workings!$E$3</c:f>
              <c:strCache>
                <c:ptCount val="1"/>
                <c:pt idx="0">
                  <c:v>In Progress</c:v>
                </c:pt>
              </c:strCache>
            </c:strRef>
          </c:tx>
          <c:spPr>
            <a:solidFill>
              <a:srgbClr val="FF7D7D"/>
            </a:solidFill>
            <a:ln w="15875">
              <a:solidFill>
                <a:srgbClr val="FF7D7D"/>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Workings!$F$3</c:f>
              <c:numCache>
                <c:formatCode>General</c:formatCode>
                <c:ptCount val="1"/>
                <c:pt idx="0">
                  <c:v>33</c:v>
                </c:pt>
              </c:numCache>
            </c:numRef>
          </c:val>
          <c:extLst>
            <c:ext xmlns:c16="http://schemas.microsoft.com/office/drawing/2014/chart" uri="{C3380CC4-5D6E-409C-BE32-E72D297353CC}">
              <c16:uniqueId val="{00000001-B9CD-43E0-8125-26C857049AA3}"/>
            </c:ext>
          </c:extLst>
        </c:ser>
        <c:ser>
          <c:idx val="2"/>
          <c:order val="2"/>
          <c:tx>
            <c:strRef>
              <c:f>Workings!$E$4</c:f>
              <c:strCache>
                <c:ptCount val="1"/>
                <c:pt idx="0">
                  <c:v>Completed</c:v>
                </c:pt>
              </c:strCache>
            </c:strRef>
          </c:tx>
          <c:spPr>
            <a:solidFill>
              <a:schemeClr val="accent2">
                <a:lumMod val="60000"/>
                <a:lumOff val="40000"/>
              </a:schemeClr>
            </a:solidFill>
            <a:ln w="15875">
              <a:solidFill>
                <a:schemeClr val="accent2">
                  <a:lumMod val="60000"/>
                  <a:lumOff val="40000"/>
                </a:schemeClr>
              </a:solid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Workings!$F$4</c:f>
              <c:numCache>
                <c:formatCode>General</c:formatCode>
                <c:ptCount val="1"/>
                <c:pt idx="0">
                  <c:v>3</c:v>
                </c:pt>
              </c:numCache>
            </c:numRef>
          </c:val>
          <c:extLst>
            <c:ext xmlns:c16="http://schemas.microsoft.com/office/drawing/2014/chart" uri="{C3380CC4-5D6E-409C-BE32-E72D297353CC}">
              <c16:uniqueId val="{00000002-B9CD-43E0-8125-26C857049AA3}"/>
            </c:ext>
          </c:extLst>
        </c:ser>
        <c:dLbls>
          <c:dLblPos val="ctr"/>
          <c:showLegendKey val="0"/>
          <c:showVal val="1"/>
          <c:showCatName val="0"/>
          <c:showSerName val="0"/>
          <c:showPercent val="0"/>
          <c:showBubbleSize val="0"/>
        </c:dLbls>
        <c:gapWidth val="0"/>
        <c:overlap val="100"/>
        <c:axId val="1614655279"/>
        <c:axId val="1903939599"/>
      </c:barChart>
      <c:catAx>
        <c:axId val="1614655279"/>
        <c:scaling>
          <c:orientation val="minMax"/>
        </c:scaling>
        <c:delete val="1"/>
        <c:axPos val="l"/>
        <c:numFmt formatCode="General" sourceLinked="1"/>
        <c:majorTickMark val="none"/>
        <c:minorTickMark val="none"/>
        <c:tickLblPos val="nextTo"/>
        <c:crossAx val="1903939599"/>
        <c:crosses val="autoZero"/>
        <c:auto val="1"/>
        <c:lblAlgn val="ctr"/>
        <c:lblOffset val="100"/>
        <c:noMultiLvlLbl val="0"/>
      </c:catAx>
      <c:valAx>
        <c:axId val="1903939599"/>
        <c:scaling>
          <c:orientation val="minMax"/>
        </c:scaling>
        <c:delete val="1"/>
        <c:axPos val="b"/>
        <c:numFmt formatCode="General" sourceLinked="1"/>
        <c:majorTickMark val="out"/>
        <c:minorTickMark val="none"/>
        <c:tickLblPos val="nextTo"/>
        <c:crossAx val="1614655279"/>
        <c:crosses val="autoZero"/>
        <c:crossBetween val="between"/>
      </c:valAx>
      <c:spPr>
        <a:noFill/>
        <a:ln>
          <a:noFill/>
        </a:ln>
        <a:effectLst/>
      </c:spPr>
    </c:plotArea>
    <c:legend>
      <c:legendPos val="t"/>
      <c:layout>
        <c:manualLayout>
          <c:xMode val="edge"/>
          <c:yMode val="edge"/>
          <c:x val="0"/>
          <c:y val="0.33184683043888474"/>
          <c:w val="0.73805683450224535"/>
          <c:h val="0.226132355284219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531590909251872"/>
          <c:y val="0.38497187851518555"/>
          <c:w val="0.50735689380788573"/>
          <c:h val="0.5372013498312711"/>
        </c:manualLayout>
      </c:layout>
      <c:doughnutChart>
        <c:varyColors val="1"/>
        <c:ser>
          <c:idx val="0"/>
          <c:order val="0"/>
          <c:spPr>
            <a:solidFill>
              <a:schemeClr val="accent6">
                <a:lumMod val="60000"/>
                <a:lumOff val="40000"/>
              </a:schemeClr>
            </a:solidFill>
          </c:spPr>
          <c:dPt>
            <c:idx val="0"/>
            <c:bubble3D val="0"/>
            <c:spPr>
              <a:solidFill>
                <a:schemeClr val="accent2">
                  <a:lumMod val="60000"/>
                  <a:lumOff val="40000"/>
                </a:schemeClr>
              </a:solidFill>
              <a:ln w="19050">
                <a:solidFill>
                  <a:schemeClr val="bg1"/>
                </a:solidFill>
              </a:ln>
              <a:effectLst/>
            </c:spPr>
            <c:extLst>
              <c:ext xmlns:c16="http://schemas.microsoft.com/office/drawing/2014/chart" uri="{C3380CC4-5D6E-409C-BE32-E72D297353CC}">
                <c16:uniqueId val="{00000001-E6BB-4A60-8AE5-B5D8FD709D8D}"/>
              </c:ext>
            </c:extLst>
          </c:dPt>
          <c:dPt>
            <c:idx val="1"/>
            <c:bubble3D val="0"/>
            <c:spPr>
              <a:solidFill>
                <a:srgbClr val="FF7D7D"/>
              </a:solidFill>
              <a:ln w="19050">
                <a:solidFill>
                  <a:schemeClr val="bg1"/>
                </a:solidFill>
              </a:ln>
              <a:effectLst/>
            </c:spPr>
            <c:extLst>
              <c:ext xmlns:c16="http://schemas.microsoft.com/office/drawing/2014/chart" uri="{C3380CC4-5D6E-409C-BE32-E72D297353CC}">
                <c16:uniqueId val="{00000003-E6BB-4A60-8AE5-B5D8FD709D8D}"/>
              </c:ext>
            </c:extLst>
          </c:dPt>
          <c:cat>
            <c:strRef>
              <c:f>Workings!$L$3:$L$4</c:f>
              <c:strCache>
                <c:ptCount val="2"/>
                <c:pt idx="0">
                  <c:v>Days Completed</c:v>
                </c:pt>
                <c:pt idx="1">
                  <c:v>Days Remaining</c:v>
                </c:pt>
              </c:strCache>
            </c:strRef>
          </c:cat>
          <c:val>
            <c:numRef>
              <c:f>Workings!$M$3:$M$4</c:f>
              <c:numCache>
                <c:formatCode>0%</c:formatCode>
                <c:ptCount val="2"/>
                <c:pt idx="0">
                  <c:v>0.42105263157894735</c:v>
                </c:pt>
                <c:pt idx="1">
                  <c:v>0.57894736842105265</c:v>
                </c:pt>
              </c:numCache>
            </c:numRef>
          </c:val>
          <c:extLst>
            <c:ext xmlns:c16="http://schemas.microsoft.com/office/drawing/2014/chart" uri="{C3380CC4-5D6E-409C-BE32-E72D297353CC}">
              <c16:uniqueId val="{00000004-E6BB-4A60-8AE5-B5D8FD709D8D}"/>
            </c:ext>
          </c:extLst>
        </c:ser>
        <c:dLbls>
          <c:showLegendKey val="0"/>
          <c:showVal val="0"/>
          <c:showCatName val="0"/>
          <c:showSerName val="0"/>
          <c:showPercent val="0"/>
          <c:showBubbleSize val="0"/>
          <c:showLeaderLines val="0"/>
        </c:dLbls>
        <c:firstSliceAng val="0"/>
        <c:holeSize val="58"/>
      </c:doughnutChart>
      <c:spPr>
        <a:noFill/>
        <a:ln>
          <a:noFill/>
        </a:ln>
        <a:effectLst/>
      </c:spPr>
    </c:plotArea>
    <c:legend>
      <c:legendPos val="t"/>
      <c:layout>
        <c:manualLayout>
          <c:xMode val="edge"/>
          <c:yMode val="edge"/>
          <c:x val="1.9206184374227778E-2"/>
          <c:y val="1.9047619047619049E-2"/>
          <c:w val="0.92560781731413377"/>
          <c:h val="0.30714510686164231"/>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croll" dx="22" fmlaLink="Workings!$P$2" horiz="1" max="30" page="7" val="0"/>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161924</xdr:colOff>
      <xdr:row>1</xdr:row>
      <xdr:rowOff>95250</xdr:rowOff>
    </xdr:from>
    <xdr:to>
      <xdr:col>9</xdr:col>
      <xdr:colOff>550875</xdr:colOff>
      <xdr:row>3</xdr:row>
      <xdr:rowOff>190800</xdr:rowOff>
    </xdr:to>
    <mc:AlternateContent xmlns:mc="http://schemas.openxmlformats.org/markup-compatibility/2006" xmlns:a14="http://schemas.microsoft.com/office/drawing/2010/main">
      <mc:Choice Requires="a14">
        <xdr:graphicFrame macro="">
          <xdr:nvGraphicFramePr>
            <xdr:cNvPr id="8" name="Manager">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3629024" y="523875"/>
              <a:ext cx="3456001" cy="648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1</xdr:row>
      <xdr:rowOff>95250</xdr:rowOff>
    </xdr:from>
    <xdr:to>
      <xdr:col>5</xdr:col>
      <xdr:colOff>114966</xdr:colOff>
      <xdr:row>3</xdr:row>
      <xdr:rowOff>190800</xdr:rowOff>
    </xdr:to>
    <mc:AlternateContent xmlns:mc="http://schemas.openxmlformats.org/markup-compatibility/2006" xmlns:a14="http://schemas.microsoft.com/office/drawing/2010/main">
      <mc:Choice Requires="a14">
        <xdr:graphicFrame macro="">
          <xdr:nvGraphicFramePr>
            <xdr:cNvPr id="3" name="Projec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Project"/>
            </a:graphicData>
          </a:graphic>
        </xdr:graphicFrame>
      </mc:Choice>
      <mc:Fallback xmlns="">
        <xdr:sp macro="" textlink="">
          <xdr:nvSpPr>
            <xdr:cNvPr id="0" name=""/>
            <xdr:cNvSpPr>
              <a:spLocks noTextEdit="1"/>
            </xdr:cNvSpPr>
          </xdr:nvSpPr>
          <xdr:spPr>
            <a:xfrm>
              <a:off x="133350" y="523875"/>
              <a:ext cx="3448716" cy="648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17</xdr:col>
      <xdr:colOff>281268</xdr:colOff>
      <xdr:row>0</xdr:row>
      <xdr:rowOff>0</xdr:rowOff>
    </xdr:from>
    <xdr:to>
      <xdr:col>20</xdr:col>
      <xdr:colOff>395568</xdr:colOff>
      <xdr:row>4</xdr:row>
      <xdr:rowOff>38100</xdr:rowOff>
    </xdr:to>
    <xdr:graphicFrame macro="">
      <xdr:nvGraphicFramePr>
        <xdr:cNvPr id="14" name="Chart 10">
          <a:extLst>
            <a:ext uri="{FF2B5EF4-FFF2-40B4-BE49-F238E27FC236}">
              <a16:creationId xmlns:a16="http://schemas.microsoft.com/office/drawing/2014/main" id="{00000000-0008-0000-01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409573</xdr:colOff>
      <xdr:row>0</xdr:row>
      <xdr:rowOff>0</xdr:rowOff>
    </xdr:from>
    <xdr:to>
      <xdr:col>24</xdr:col>
      <xdr:colOff>190500</xdr:colOff>
      <xdr:row>4</xdr:row>
      <xdr:rowOff>0</xdr:rowOff>
    </xdr:to>
    <xdr:graphicFrame macro="">
      <xdr:nvGraphicFramePr>
        <xdr:cNvPr id="18" name="Chart 17">
          <a:extLst>
            <a:ext uri="{FF2B5EF4-FFF2-40B4-BE49-F238E27FC236}">
              <a16:creationId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546100</xdr:colOff>
          <xdr:row>0</xdr:row>
          <xdr:rowOff>95250</xdr:rowOff>
        </xdr:from>
        <xdr:to>
          <xdr:col>9</xdr:col>
          <xdr:colOff>647700</xdr:colOff>
          <xdr:row>0</xdr:row>
          <xdr:rowOff>336550</xdr:rowOff>
        </xdr:to>
        <xdr:sp macro="" textlink="">
          <xdr:nvSpPr>
            <xdr:cNvPr id="1025" name="Scroll Bar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12</xdr:col>
      <xdr:colOff>295836</xdr:colOff>
      <xdr:row>0</xdr:row>
      <xdr:rowOff>0</xdr:rowOff>
    </xdr:from>
    <xdr:to>
      <xdr:col>19</xdr:col>
      <xdr:colOff>276225</xdr:colOff>
      <xdr:row>3</xdr:row>
      <xdr:rowOff>246529</xdr:rowOff>
    </xdr:to>
    <xdr:graphicFrame macro="">
      <xdr:nvGraphicFramePr>
        <xdr:cNvPr id="19" name="Chart 18">
          <a:extLst>
            <a:ext uri="{FF2B5EF4-FFF2-40B4-BE49-F238E27FC236}">
              <a16:creationId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673474</xdr:colOff>
      <xdr:row>0</xdr:row>
      <xdr:rowOff>1</xdr:rowOff>
    </xdr:from>
    <xdr:to>
      <xdr:col>12</xdr:col>
      <xdr:colOff>425823</xdr:colOff>
      <xdr:row>4</xdr:row>
      <xdr:rowOff>22413</xdr:rowOff>
    </xdr:to>
    <xdr:graphicFrame macro="">
      <xdr:nvGraphicFramePr>
        <xdr:cNvPr id="20" name="Chart 19">
          <a:extLst>
            <a:ext uri="{FF2B5EF4-FFF2-40B4-BE49-F238E27FC236}">
              <a16:creationId xmlns:a16="http://schemas.microsoft.com/office/drawing/2014/main" id="{00000000-0008-0000-01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419100</xdr:colOff>
      <xdr:row>2</xdr:row>
      <xdr:rowOff>19050</xdr:rowOff>
    </xdr:from>
    <xdr:to>
      <xdr:col>11</xdr:col>
      <xdr:colOff>428625</xdr:colOff>
      <xdr:row>3</xdr:row>
      <xdr:rowOff>19050</xdr:rowOff>
    </xdr:to>
    <xdr:sp macro="" textlink="Workings!M3">
      <xdr:nvSpPr>
        <xdr:cNvPr id="11" name="TextBox 10">
          <a:extLst>
            <a:ext uri="{FF2B5EF4-FFF2-40B4-BE49-F238E27FC236}">
              <a16:creationId xmlns:a16="http://schemas.microsoft.com/office/drawing/2014/main" id="{00000000-0008-0000-0100-00000B000000}"/>
            </a:ext>
          </a:extLst>
        </xdr:cNvPr>
        <xdr:cNvSpPr txBox="1"/>
      </xdr:nvSpPr>
      <xdr:spPr>
        <a:xfrm>
          <a:off x="7667625" y="723900"/>
          <a:ext cx="4762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4513E5-C66C-4C25-B310-9E0EB8799828}" type="TxLink">
            <a:rPr lang="en-US" sz="1200" b="0" i="0" u="none" strike="noStrike">
              <a:solidFill>
                <a:srgbClr val="000000"/>
              </a:solidFill>
              <a:latin typeface="Calibri"/>
              <a:cs typeface="Calibri"/>
            </a:rPr>
            <a:pPr algn="ctr"/>
            <a:t>42%</a:t>
          </a:fld>
          <a:endParaRPr lang="en-AU" sz="1200">
            <a:latin typeface="Segoe UI" panose="020B0502040204020203" pitchFamily="34" charset="0"/>
            <a:cs typeface="Segoe UI" panose="020B0502040204020203" pitchFamily="34" charset="0"/>
          </a:endParaRPr>
        </a:p>
      </xdr:txBody>
    </xdr:sp>
    <xdr:clientData/>
  </xdr:twoCellAnchor>
  <xdr:twoCellAnchor>
    <xdr:from>
      <xdr:col>4</xdr:col>
      <xdr:colOff>549136</xdr:colOff>
      <xdr:row>9</xdr:row>
      <xdr:rowOff>182142</xdr:rowOff>
    </xdr:from>
    <xdr:to>
      <xdr:col>5</xdr:col>
      <xdr:colOff>391632</xdr:colOff>
      <xdr:row>13</xdr:row>
      <xdr:rowOff>57786</xdr:rowOff>
    </xdr:to>
    <xdr:pic>
      <xdr:nvPicPr>
        <xdr:cNvPr id="13" name="Graphic 12" descr="No sign with solid fill">
          <a:extLst>
            <a:ext uri="{FF2B5EF4-FFF2-40B4-BE49-F238E27FC236}">
              <a16:creationId xmlns:a16="http://schemas.microsoft.com/office/drawing/2014/main" id="{570223AF-02D8-43B8-82B0-C51E089FF05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387960" y="2498024"/>
          <a:ext cx="641848" cy="622703"/>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0.2327</cdr:x>
      <cdr:y>7.12889E-7</cdr:y>
    </cdr:from>
    <cdr:to>
      <cdr:x>0.79874</cdr:x>
      <cdr:y>0.31235</cdr:y>
    </cdr:to>
    <cdr:sp macro="" textlink="">
      <cdr:nvSpPr>
        <cdr:cNvPr id="2" name="Rectangle 1">
          <a:extLst xmlns:a="http://schemas.openxmlformats.org/drawingml/2006/main">
            <a:ext uri="{FF2B5EF4-FFF2-40B4-BE49-F238E27FC236}">
              <a16:creationId xmlns:a16="http://schemas.microsoft.com/office/drawing/2014/main" id="{0236C271-2FD1-4FE5-9685-D512BBDF9E6D}"/>
            </a:ext>
          </a:extLst>
        </cdr:cNvPr>
        <cdr:cNvSpPr/>
      </cdr:nvSpPr>
      <cdr:spPr>
        <a:xfrm xmlns:a="http://schemas.openxmlformats.org/drawingml/2006/main">
          <a:off x="352419" y="1"/>
          <a:ext cx="857253" cy="43815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AU" sz="1000">
              <a:solidFill>
                <a:schemeClr val="bg1"/>
              </a:solidFill>
              <a:latin typeface="Segoe UI" panose="020B0502040204020203" pitchFamily="34" charset="0"/>
              <a:cs typeface="Segoe UI" panose="020B0502040204020203" pitchFamily="34" charset="0"/>
            </a:rPr>
            <a:t>BUDGET</a:t>
          </a:r>
          <a:r>
            <a:rPr lang="en-AU" sz="1000" baseline="0">
              <a:solidFill>
                <a:schemeClr val="bg1"/>
              </a:solidFill>
              <a:latin typeface="Segoe UI" panose="020B0502040204020203" pitchFamily="34" charset="0"/>
              <a:cs typeface="Segoe UI" panose="020B0502040204020203" pitchFamily="34" charset="0"/>
            </a:rPr>
            <a:t> SPENT</a:t>
          </a:r>
          <a:endParaRPr lang="en-AU" sz="1000">
            <a:solidFill>
              <a:schemeClr val="bg1"/>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0.33543</cdr:x>
      <cdr:y>0.53369</cdr:y>
    </cdr:from>
    <cdr:to>
      <cdr:x>0.71464</cdr:x>
      <cdr:y>0.77507</cdr:y>
    </cdr:to>
    <cdr:sp macro="" textlink="Workings!$B$4">
      <cdr:nvSpPr>
        <cdr:cNvPr id="4" name="TextBox 1">
          <a:extLst xmlns:a="http://schemas.openxmlformats.org/drawingml/2006/main">
            <a:ext uri="{FF2B5EF4-FFF2-40B4-BE49-F238E27FC236}">
              <a16:creationId xmlns:a16="http://schemas.microsoft.com/office/drawing/2014/main" id="{978FF532-749A-4D49-80B0-B1F7584EF411}"/>
            </a:ext>
          </a:extLst>
        </cdr:cNvPr>
        <cdr:cNvSpPr txBox="1"/>
      </cdr:nvSpPr>
      <cdr:spPr>
        <a:xfrm xmlns:a="http://schemas.openxmlformats.org/drawingml/2006/main">
          <a:off x="508000" y="748631"/>
          <a:ext cx="574304" cy="338594"/>
        </a:xfrm>
        <a:prstGeom xmlns:a="http://schemas.openxmlformats.org/drawingml/2006/main" prst="rect">
          <a:avLst/>
        </a:prstGeom>
        <a:ln xmlns:a="http://schemas.openxmlformats.org/drawingml/2006/main">
          <a:noFill/>
        </a:ln>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C6529388-5AB0-43D8-878F-2361F924F183}" type="TxLink">
            <a:rPr lang="en-US" sz="1200" b="0" i="0" u="none" strike="noStrike">
              <a:solidFill>
                <a:srgbClr val="000000"/>
              </a:solidFill>
              <a:latin typeface="Calibri"/>
              <a:cs typeface="Calibri"/>
            </a:rPr>
            <a:pPr algn="ctr"/>
            <a:t>42%</a:t>
          </a:fld>
          <a:endParaRPr lang="en-AU" sz="14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nda Treacy" refreshedDate="43962.895952662038" missingItemsLimit="0" createdVersion="6" refreshedVersion="6" minRefreshableVersion="3" recordCount="40" xr:uid="{7F044F22-30D6-49F4-936A-AD04EA158BFF}">
  <cacheSource type="worksheet">
    <worksheetSource name="Table1"/>
  </cacheSource>
  <cacheFields count="10">
    <cacheField name="Project" numFmtId="0">
      <sharedItems count="5">
        <s v="Gemini"/>
        <s v="Orion"/>
        <s v="Vega"/>
        <s v="Delta"/>
        <s v="Alpha"/>
      </sharedItems>
    </cacheField>
    <cacheField name="Task" numFmtId="0">
      <sharedItems count="10">
        <s v="Task 1"/>
        <s v="Task 2"/>
        <s v="Task 3"/>
        <s v="Task 4"/>
        <s v="Task 5"/>
        <s v="Task 6"/>
        <s v="Task 7"/>
        <s v="Task 8"/>
        <s v="Task 9"/>
        <s v="Task 10"/>
      </sharedItems>
    </cacheField>
    <cacheField name="Manager" numFmtId="0">
      <sharedItems count="5">
        <s v="Hirsch"/>
        <s v="Samora"/>
        <s v="McFay"/>
        <s v="Wood"/>
        <s v="Ladd"/>
      </sharedItems>
    </cacheField>
    <cacheField name="Start Date" numFmtId="14">
      <sharedItems containsSemiMixedTypes="0" containsNonDate="0" containsDate="1" containsString="0" minDate="2020-02-17T00:00:00" maxDate="2020-03-03T00:00:00" count="11">
        <d v="2020-02-17T00:00:00"/>
        <d v="2020-02-18T00:00:00"/>
        <d v="2020-02-21T00:00:00"/>
        <d v="2020-02-20T00:00:00"/>
        <d v="2020-02-24T00:00:00"/>
        <d v="2020-02-25T00:00:00"/>
        <d v="2020-02-27T00:00:00"/>
        <d v="2020-02-26T00:00:00"/>
        <d v="2020-02-28T00:00:00"/>
        <d v="2020-03-02T00:00:00"/>
        <d v="2020-02-19T00:00:00"/>
      </sharedItems>
    </cacheField>
    <cacheField name="Duration" numFmtId="0">
      <sharedItems containsSemiMixedTypes="0" containsString="0" containsNumber="1" containsInteger="1" minValue="3" maxValue="10" count="8">
        <n v="5"/>
        <n v="6"/>
        <n v="10"/>
        <n v="9"/>
        <n v="4"/>
        <n v="7"/>
        <n v="8"/>
        <n v="3"/>
      </sharedItems>
    </cacheField>
    <cacheField name="End Date" numFmtId="14">
      <sharedItems containsSemiMixedTypes="0" containsNonDate="0" containsDate="1" containsString="0" minDate="2020-02-19T00:00:00" maxDate="2020-03-14T00:00:00" count="15">
        <d v="2020-02-21T00:00:00"/>
        <d v="2020-02-24T00:00:00"/>
        <d v="2020-03-02T00:00:00"/>
        <d v="2020-03-04T00:00:00"/>
        <d v="2020-02-20T00:00:00"/>
        <d v="2020-02-27T00:00:00"/>
        <d v="2020-02-28T00:00:00"/>
        <d v="2020-03-05T00:00:00"/>
        <d v="2020-02-26T00:00:00"/>
        <d v="2020-03-06T00:00:00"/>
        <d v="2020-02-19T00:00:00"/>
        <d v="2020-03-03T00:00:00"/>
        <d v="2020-03-12T00:00:00"/>
        <d v="2020-03-13T00:00:00"/>
        <d v="2020-03-10T00:00:00"/>
      </sharedItems>
    </cacheField>
    <cacheField name="Days completed" numFmtId="3">
      <sharedItems containsSemiMixedTypes="0" containsString="0" containsNumber="1" containsInteger="1" minValue="0" maxValue="8" count="8">
        <n v="2"/>
        <n v="3"/>
        <n v="4"/>
        <n v="1"/>
        <n v="0"/>
        <n v="7"/>
        <n v="5"/>
        <n v="8"/>
      </sharedItems>
    </cacheField>
    <cacheField name="Progress" numFmtId="9">
      <sharedItems containsSemiMixedTypes="0" containsString="0" containsNumber="1" minValue="0" maxValue="1" count="19">
        <n v="0.4"/>
        <n v="0.5"/>
        <n v="0.33333333333333331"/>
        <n v="0.25"/>
        <n v="0"/>
        <n v="0.42857142857142855"/>
        <n v="0.1111111111111111"/>
        <n v="1"/>
        <n v="0.44444444444444442"/>
        <n v="0.83333333333333337"/>
        <n v="0.8"/>
        <n v="0.2857142857142857"/>
        <n v="0.66666666666666663"/>
        <n v="0.88888888888888884"/>
        <n v="0.2"/>
        <n v="0.625"/>
        <n v="0.3"/>
        <n v="0.375"/>
        <n v="0.6"/>
      </sharedItems>
    </cacheField>
    <cacheField name="Budget" numFmtId="3">
      <sharedItems containsSemiMixedTypes="0" containsString="0" containsNumber="1" containsInteger="1" minValue="50000" maxValue="990000"/>
    </cacheField>
    <cacheField name="Actual" numFmtId="3">
      <sharedItems containsSemiMixedTypes="0" containsString="0" containsNumber="1" containsInteger="1" minValue="0" maxValue="807069"/>
    </cacheField>
  </cacheFields>
  <extLst>
    <ext xmlns:x14="http://schemas.microsoft.com/office/spreadsheetml/2009/9/main" uri="{725AE2AE-9491-48be-B2B4-4EB974FC3084}">
      <x14:pivotCacheDefinition pivotCacheId="7397747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x v="0"/>
    <x v="0"/>
    <x v="0"/>
    <x v="0"/>
    <x v="0"/>
    <x v="0"/>
    <x v="0"/>
    <n v="218000"/>
    <n v="97337"/>
  </r>
  <r>
    <x v="0"/>
    <x v="1"/>
    <x v="1"/>
    <x v="0"/>
    <x v="1"/>
    <x v="1"/>
    <x v="1"/>
    <x v="1"/>
    <n v="393000"/>
    <n v="177440"/>
  </r>
  <r>
    <x v="0"/>
    <x v="2"/>
    <x v="2"/>
    <x v="1"/>
    <x v="2"/>
    <x v="2"/>
    <x v="2"/>
    <x v="0"/>
    <n v="86000"/>
    <n v="31046"/>
  </r>
  <r>
    <x v="0"/>
    <x v="3"/>
    <x v="3"/>
    <x v="2"/>
    <x v="3"/>
    <x v="3"/>
    <x v="1"/>
    <x v="2"/>
    <n v="732000"/>
    <n v="261324"/>
  </r>
  <r>
    <x v="0"/>
    <x v="4"/>
    <x v="4"/>
    <x v="0"/>
    <x v="4"/>
    <x v="4"/>
    <x v="3"/>
    <x v="3"/>
    <n v="492000"/>
    <n v="116850"/>
  </r>
  <r>
    <x v="0"/>
    <x v="5"/>
    <x v="0"/>
    <x v="3"/>
    <x v="1"/>
    <x v="5"/>
    <x v="4"/>
    <x v="4"/>
    <n v="188000"/>
    <n v="0"/>
  </r>
  <r>
    <x v="0"/>
    <x v="6"/>
    <x v="1"/>
    <x v="3"/>
    <x v="5"/>
    <x v="6"/>
    <x v="1"/>
    <x v="5"/>
    <n v="180000"/>
    <n v="79380"/>
  </r>
  <r>
    <x v="0"/>
    <x v="7"/>
    <x v="2"/>
    <x v="4"/>
    <x v="0"/>
    <x v="6"/>
    <x v="0"/>
    <x v="0"/>
    <n v="582000"/>
    <n v="195231"/>
  </r>
  <r>
    <x v="0"/>
    <x v="8"/>
    <x v="3"/>
    <x v="4"/>
    <x v="3"/>
    <x v="7"/>
    <x v="3"/>
    <x v="6"/>
    <n v="562000"/>
    <n v="74746"/>
  </r>
  <r>
    <x v="0"/>
    <x v="9"/>
    <x v="4"/>
    <x v="4"/>
    <x v="1"/>
    <x v="2"/>
    <x v="1"/>
    <x v="1"/>
    <n v="416000"/>
    <n v="175015"/>
  </r>
  <r>
    <x v="1"/>
    <x v="0"/>
    <x v="0"/>
    <x v="1"/>
    <x v="5"/>
    <x v="8"/>
    <x v="5"/>
    <x v="7"/>
    <n v="293000"/>
    <n v="273001"/>
  </r>
  <r>
    <x v="1"/>
    <x v="1"/>
    <x v="1"/>
    <x v="0"/>
    <x v="3"/>
    <x v="5"/>
    <x v="2"/>
    <x v="8"/>
    <n v="224000"/>
    <n v="57910"/>
  </r>
  <r>
    <x v="1"/>
    <x v="2"/>
    <x v="2"/>
    <x v="1"/>
    <x v="6"/>
    <x v="5"/>
    <x v="4"/>
    <x v="4"/>
    <n v="978000"/>
    <n v="0"/>
  </r>
  <r>
    <x v="1"/>
    <x v="3"/>
    <x v="3"/>
    <x v="3"/>
    <x v="5"/>
    <x v="6"/>
    <x v="1"/>
    <x v="5"/>
    <n v="932000"/>
    <n v="379157"/>
  </r>
  <r>
    <x v="1"/>
    <x v="4"/>
    <x v="4"/>
    <x v="2"/>
    <x v="4"/>
    <x v="8"/>
    <x v="3"/>
    <x v="3"/>
    <n v="854000"/>
    <n v="322812"/>
  </r>
  <r>
    <x v="1"/>
    <x v="5"/>
    <x v="0"/>
    <x v="2"/>
    <x v="1"/>
    <x v="6"/>
    <x v="1"/>
    <x v="1"/>
    <n v="81000"/>
    <n v="38461"/>
  </r>
  <r>
    <x v="1"/>
    <x v="6"/>
    <x v="1"/>
    <x v="4"/>
    <x v="1"/>
    <x v="2"/>
    <x v="6"/>
    <x v="9"/>
    <n v="169000"/>
    <n v="136468"/>
  </r>
  <r>
    <x v="1"/>
    <x v="7"/>
    <x v="2"/>
    <x v="5"/>
    <x v="4"/>
    <x v="6"/>
    <x v="3"/>
    <x v="3"/>
    <n v="61000"/>
    <n v="12078"/>
  </r>
  <r>
    <x v="1"/>
    <x v="8"/>
    <x v="3"/>
    <x v="6"/>
    <x v="5"/>
    <x v="9"/>
    <x v="1"/>
    <x v="5"/>
    <n v="645000"/>
    <n v="273048"/>
  </r>
  <r>
    <x v="1"/>
    <x v="9"/>
    <x v="4"/>
    <x v="0"/>
    <x v="7"/>
    <x v="10"/>
    <x v="1"/>
    <x v="7"/>
    <n v="68000"/>
    <n v="64987"/>
  </r>
  <r>
    <x v="2"/>
    <x v="0"/>
    <x v="0"/>
    <x v="0"/>
    <x v="2"/>
    <x v="6"/>
    <x v="6"/>
    <x v="1"/>
    <n v="839000"/>
    <n v="406974"/>
  </r>
  <r>
    <x v="2"/>
    <x v="1"/>
    <x v="1"/>
    <x v="2"/>
    <x v="0"/>
    <x v="5"/>
    <x v="2"/>
    <x v="10"/>
    <n v="729000"/>
    <n v="487139"/>
  </r>
  <r>
    <x v="2"/>
    <x v="2"/>
    <x v="2"/>
    <x v="4"/>
    <x v="5"/>
    <x v="11"/>
    <x v="1"/>
    <x v="5"/>
    <n v="826000"/>
    <n v="298186"/>
  </r>
  <r>
    <x v="2"/>
    <x v="3"/>
    <x v="3"/>
    <x v="7"/>
    <x v="5"/>
    <x v="7"/>
    <x v="0"/>
    <x v="11"/>
    <n v="895000"/>
    <n v="280583"/>
  </r>
  <r>
    <x v="2"/>
    <x v="4"/>
    <x v="4"/>
    <x v="8"/>
    <x v="7"/>
    <x v="11"/>
    <x v="0"/>
    <x v="12"/>
    <n v="341000"/>
    <n v="129785"/>
  </r>
  <r>
    <x v="3"/>
    <x v="0"/>
    <x v="0"/>
    <x v="9"/>
    <x v="3"/>
    <x v="12"/>
    <x v="7"/>
    <x v="13"/>
    <n v="787000"/>
    <n v="727188"/>
  </r>
  <r>
    <x v="3"/>
    <x v="1"/>
    <x v="1"/>
    <x v="9"/>
    <x v="2"/>
    <x v="13"/>
    <x v="0"/>
    <x v="14"/>
    <n v="228000"/>
    <n v="47880"/>
  </r>
  <r>
    <x v="3"/>
    <x v="2"/>
    <x v="2"/>
    <x v="0"/>
    <x v="4"/>
    <x v="4"/>
    <x v="4"/>
    <x v="4"/>
    <n v="147000"/>
    <n v="0"/>
  </r>
  <r>
    <x v="3"/>
    <x v="3"/>
    <x v="3"/>
    <x v="10"/>
    <x v="6"/>
    <x v="6"/>
    <x v="6"/>
    <x v="15"/>
    <n v="338000"/>
    <n v="205123"/>
  </r>
  <r>
    <x v="3"/>
    <x v="4"/>
    <x v="4"/>
    <x v="4"/>
    <x v="2"/>
    <x v="9"/>
    <x v="1"/>
    <x v="16"/>
    <n v="857000"/>
    <n v="305949"/>
  </r>
  <r>
    <x v="3"/>
    <x v="5"/>
    <x v="0"/>
    <x v="5"/>
    <x v="1"/>
    <x v="11"/>
    <x v="1"/>
    <x v="1"/>
    <n v="602000"/>
    <n v="322371"/>
  </r>
  <r>
    <x v="3"/>
    <x v="6"/>
    <x v="1"/>
    <x v="5"/>
    <x v="4"/>
    <x v="6"/>
    <x v="0"/>
    <x v="1"/>
    <n v="990000"/>
    <n v="451440"/>
  </r>
  <r>
    <x v="4"/>
    <x v="0"/>
    <x v="2"/>
    <x v="8"/>
    <x v="6"/>
    <x v="14"/>
    <x v="1"/>
    <x v="17"/>
    <n v="96000"/>
    <n v="32256"/>
  </r>
  <r>
    <x v="4"/>
    <x v="1"/>
    <x v="3"/>
    <x v="9"/>
    <x v="3"/>
    <x v="12"/>
    <x v="2"/>
    <x v="8"/>
    <n v="513000"/>
    <n v="226233"/>
  </r>
  <r>
    <x v="4"/>
    <x v="2"/>
    <x v="4"/>
    <x v="3"/>
    <x v="0"/>
    <x v="8"/>
    <x v="1"/>
    <x v="18"/>
    <n v="616000"/>
    <n v="401579"/>
  </r>
  <r>
    <x v="4"/>
    <x v="3"/>
    <x v="0"/>
    <x v="10"/>
    <x v="7"/>
    <x v="0"/>
    <x v="1"/>
    <x v="7"/>
    <n v="817000"/>
    <n v="807069"/>
  </r>
  <r>
    <x v="4"/>
    <x v="4"/>
    <x v="1"/>
    <x v="2"/>
    <x v="5"/>
    <x v="2"/>
    <x v="1"/>
    <x v="5"/>
    <n v="372000"/>
    <n v="173166"/>
  </r>
  <r>
    <x v="4"/>
    <x v="5"/>
    <x v="2"/>
    <x v="4"/>
    <x v="2"/>
    <x v="9"/>
    <x v="0"/>
    <x v="14"/>
    <n v="50000"/>
    <n v="8400"/>
  </r>
  <r>
    <x v="4"/>
    <x v="6"/>
    <x v="3"/>
    <x v="4"/>
    <x v="2"/>
    <x v="9"/>
    <x v="1"/>
    <x v="16"/>
    <n v="807000"/>
    <n v="262679"/>
  </r>
  <r>
    <x v="4"/>
    <x v="7"/>
    <x v="4"/>
    <x v="4"/>
    <x v="7"/>
    <x v="8"/>
    <x v="4"/>
    <x v="4"/>
    <n v="69100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DFB2C1-F4B8-49AF-A1F4-4361E5203E0E}" name="Budget_v_Actual" cacheId="0"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24">
  <location ref="B2:C3" firstHeaderRow="0" firstDataRow="1" firstDataCol="0"/>
  <pivotFields count="10">
    <pivotField showAll="0">
      <items count="6">
        <item x="4"/>
        <item x="3"/>
        <item x="0"/>
        <item x="1"/>
        <item x="2"/>
        <item t="default"/>
      </items>
    </pivotField>
    <pivotField showAll="0"/>
    <pivotField showAll="0">
      <items count="6">
        <item x="0"/>
        <item x="4"/>
        <item x="2"/>
        <item x="1"/>
        <item x="3"/>
        <item t="default"/>
      </items>
    </pivotField>
    <pivotField numFmtId="14" showAll="0"/>
    <pivotField showAll="0"/>
    <pivotField numFmtId="14" showAll="0"/>
    <pivotField numFmtId="3" showAll="0"/>
    <pivotField numFmtId="9" showAll="0"/>
    <pivotField dataField="1" numFmtId="3" showAll="0"/>
    <pivotField dataField="1" numFmtId="3" showAll="0"/>
  </pivotFields>
  <rowItems count="1">
    <i/>
  </rowItems>
  <colFields count="1">
    <field x="-2"/>
  </colFields>
  <colItems count="2">
    <i>
      <x/>
    </i>
    <i i="1">
      <x v="1"/>
    </i>
  </colItems>
  <dataFields count="2">
    <dataField name="Actual " fld="9" baseField="0" baseItem="1" numFmtId="167"/>
    <dataField name="Budget " fld="8" baseField="0" baseItem="1" numFmtId="167"/>
  </dataFields>
  <chartFormats count="7">
    <chartFormat chart="15" format="5" series="1">
      <pivotArea type="data" outline="0" fieldPosition="0">
        <references count="1">
          <reference field="4294967294" count="1" selected="0">
            <x v="0"/>
          </reference>
        </references>
      </pivotArea>
    </chartFormat>
    <chartFormat chart="15" format="6">
      <pivotArea type="data" outline="0" fieldPosition="0">
        <references count="1">
          <reference field="4294967294" count="1" selected="0">
            <x v="0"/>
          </reference>
        </references>
      </pivotArea>
    </chartFormat>
    <chartFormat chart="15" format="7">
      <pivotArea type="data" outline="0" fieldPosition="0">
        <references count="1">
          <reference field="4294967294" count="1" selected="0">
            <x v="1"/>
          </reference>
        </references>
      </pivotArea>
    </chartFormat>
    <chartFormat chart="21" format="12" series="1">
      <pivotArea type="data" outline="0" fieldPosition="0">
        <references count="1">
          <reference field="4294967294" count="1" selected="0">
            <x v="0"/>
          </reference>
        </references>
      </pivotArea>
    </chartFormat>
    <chartFormat chart="21" format="13">
      <pivotArea type="data" outline="0" fieldPosition="0">
        <references count="1">
          <reference field="4294967294" count="1" selected="0">
            <x v="0"/>
          </reference>
        </references>
      </pivotArea>
    </chartFormat>
    <chartFormat chart="21" format="14" series="1">
      <pivotArea type="data" outline="0" fieldPosition="0">
        <references count="1">
          <reference field="4294967294" count="1" selected="0">
            <x v="1"/>
          </reference>
        </references>
      </pivotArea>
    </chartFormat>
    <chartFormat chart="21" format="15">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BCFFF3-195F-4C92-8A2E-C048CA24D4C9}" name="Days_Completed" cacheId="0" dataOnRows="1"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6">
  <location ref="I2:J4" firstHeaderRow="1" firstDataRow="1" firstDataCol="1"/>
  <pivotFields count="10">
    <pivotField showAll="0">
      <items count="6">
        <item x="4"/>
        <item x="3"/>
        <item x="0"/>
        <item x="1"/>
        <item x="2"/>
        <item t="default"/>
      </items>
    </pivotField>
    <pivotField showAll="0"/>
    <pivotField showAll="0">
      <items count="6">
        <item x="0"/>
        <item x="4"/>
        <item x="2"/>
        <item x="1"/>
        <item x="3"/>
        <item t="default"/>
      </items>
    </pivotField>
    <pivotField numFmtId="14" showAll="0"/>
    <pivotField dataField="1" showAll="0"/>
    <pivotField numFmtId="14" showAll="0"/>
    <pivotField dataField="1" numFmtId="3" showAll="0"/>
    <pivotField numFmtId="9" showAll="0"/>
    <pivotField numFmtId="3" showAll="0"/>
    <pivotField numFmtId="3" showAll="0"/>
  </pivotFields>
  <rowFields count="1">
    <field x="-2"/>
  </rowFields>
  <rowItems count="2">
    <i>
      <x/>
    </i>
    <i i="1">
      <x v="1"/>
    </i>
  </rowItems>
  <colItems count="1">
    <i/>
  </colItems>
  <dataFields count="2">
    <dataField name="Days completed " fld="6" baseField="0" baseItem="0"/>
    <dataField name="Duration "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55B9DB-4CE8-497A-978F-D31E4BA07222}" name="Gantt" cacheId="0" applyNumberFormats="0" applyBorderFormats="0" applyFontFormats="0" applyPatternFormats="0" applyAlignmentFormats="0" applyWidthHeightFormats="1" dataCaption="Values" updatedVersion="6" minRefreshableVersion="3" showDrill="0" itemPrintTitles="1" createdVersion="6" indent="0" compact="0" compactData="0" multipleFieldFilters="0" chartFormat="1">
  <location ref="A5:J46" firstHeaderRow="0" firstDataRow="1" firstDataCol="8"/>
  <pivotFields count="10">
    <pivotField axis="axisRow" compact="0" outline="0" showAll="0" defaultSubtotal="0">
      <items count="5">
        <item x="4"/>
        <item x="3"/>
        <item x="0"/>
        <item x="1"/>
        <item x="2"/>
      </items>
    </pivotField>
    <pivotField axis="axisRow" compact="0" outline="0" showAll="0" defaultSubtotal="0">
      <items count="10">
        <item x="0"/>
        <item x="1"/>
        <item x="2"/>
        <item x="3"/>
        <item x="4"/>
        <item x="5"/>
        <item x="6"/>
        <item x="7"/>
        <item x="8"/>
        <item x="9"/>
      </items>
    </pivotField>
    <pivotField axis="axisRow" compact="0" outline="0" showAll="0" defaultSubtotal="0">
      <items count="5">
        <item x="4"/>
        <item x="1"/>
        <item x="0"/>
        <item x="3"/>
        <item x="2"/>
      </items>
    </pivotField>
    <pivotField axis="axisRow" compact="0" numFmtId="14" outline="0" showAll="0" defaultSubtotal="0">
      <items count="11">
        <item x="0"/>
        <item x="1"/>
        <item x="10"/>
        <item x="3"/>
        <item x="2"/>
        <item x="4"/>
        <item x="5"/>
        <item x="7"/>
        <item x="6"/>
        <item x="8"/>
        <item x="9"/>
      </items>
    </pivotField>
    <pivotField axis="axisRow" compact="0" outline="0" showAll="0" defaultSubtotal="0">
      <items count="8">
        <item x="7"/>
        <item x="4"/>
        <item x="0"/>
        <item x="1"/>
        <item x="5"/>
        <item x="6"/>
        <item x="3"/>
        <item x="2"/>
      </items>
    </pivotField>
    <pivotField axis="axisRow" compact="0" numFmtId="14" outline="0" showAll="0" defaultSubtotal="0">
      <items count="15">
        <item x="4"/>
        <item x="0"/>
        <item x="8"/>
        <item x="5"/>
        <item x="6"/>
        <item x="11"/>
        <item x="3"/>
        <item x="9"/>
        <item x="7"/>
        <item x="13"/>
        <item x="14"/>
        <item x="1"/>
        <item x="2"/>
        <item x="10"/>
        <item x="12"/>
      </items>
    </pivotField>
    <pivotField name="Days comp." axis="axisRow" compact="0" numFmtId="3" outline="0" showAll="0" defaultSubtotal="0">
      <items count="8">
        <item x="4"/>
        <item x="3"/>
        <item x="0"/>
        <item x="1"/>
        <item x="2"/>
        <item x="6"/>
        <item x="7"/>
        <item x="5"/>
      </items>
    </pivotField>
    <pivotField axis="axisRow" compact="0" numFmtId="9" outline="0" showAll="0" defaultSubtotal="0">
      <items count="19">
        <item x="4"/>
        <item x="14"/>
        <item x="3"/>
        <item x="18"/>
        <item x="7"/>
        <item x="0"/>
        <item x="1"/>
        <item x="2"/>
        <item x="5"/>
        <item x="6"/>
        <item x="8"/>
        <item x="9"/>
        <item x="10"/>
        <item x="11"/>
        <item x="12"/>
        <item x="13"/>
        <item x="15"/>
        <item x="16"/>
        <item x="17"/>
      </items>
    </pivotField>
    <pivotField dataField="1" compact="0" numFmtId="3" outline="0" showAll="0" defaultSubtotal="0"/>
    <pivotField dataField="1" compact="0" numFmtId="3" outline="0" showAll="0" defaultSubtotal="0"/>
  </pivotFields>
  <rowFields count="8">
    <field x="0"/>
    <field x="1"/>
    <field x="2"/>
    <field x="3"/>
    <field x="5"/>
    <field x="4"/>
    <field x="6"/>
    <field x="7"/>
  </rowFields>
  <rowItems count="41">
    <i>
      <x/>
      <x/>
      <x v="4"/>
      <x v="9"/>
      <x v="10"/>
      <x v="5"/>
      <x v="3"/>
      <x v="18"/>
    </i>
    <i r="1">
      <x v="1"/>
      <x v="3"/>
      <x v="10"/>
      <x v="14"/>
      <x v="6"/>
      <x v="4"/>
      <x v="10"/>
    </i>
    <i r="1">
      <x v="2"/>
      <x/>
      <x v="3"/>
      <x v="2"/>
      <x v="2"/>
      <x v="3"/>
      <x v="3"/>
    </i>
    <i r="1">
      <x v="3"/>
      <x v="2"/>
      <x v="2"/>
      <x v="1"/>
      <x/>
      <x v="3"/>
      <x v="4"/>
    </i>
    <i r="1">
      <x v="4"/>
      <x v="1"/>
      <x v="4"/>
      <x v="12"/>
      <x v="4"/>
      <x v="3"/>
      <x v="8"/>
    </i>
    <i r="1">
      <x v="5"/>
      <x v="4"/>
      <x v="5"/>
      <x v="7"/>
      <x v="7"/>
      <x v="2"/>
      <x v="1"/>
    </i>
    <i r="1">
      <x v="6"/>
      <x v="3"/>
      <x v="5"/>
      <x v="7"/>
      <x v="7"/>
      <x v="3"/>
      <x v="17"/>
    </i>
    <i r="1">
      <x v="7"/>
      <x/>
      <x v="5"/>
      <x v="2"/>
      <x/>
      <x/>
      <x/>
    </i>
    <i>
      <x v="1"/>
      <x/>
      <x v="2"/>
      <x v="10"/>
      <x v="14"/>
      <x v="6"/>
      <x v="6"/>
      <x v="15"/>
    </i>
    <i r="1">
      <x v="1"/>
      <x v="1"/>
      <x v="10"/>
      <x v="9"/>
      <x v="7"/>
      <x v="2"/>
      <x v="1"/>
    </i>
    <i r="1">
      <x v="2"/>
      <x v="4"/>
      <x/>
      <x/>
      <x v="1"/>
      <x/>
      <x/>
    </i>
    <i r="1">
      <x v="3"/>
      <x v="3"/>
      <x v="2"/>
      <x v="4"/>
      <x v="5"/>
      <x v="5"/>
      <x v="16"/>
    </i>
    <i r="1">
      <x v="4"/>
      <x/>
      <x v="5"/>
      <x v="7"/>
      <x v="7"/>
      <x v="3"/>
      <x v="17"/>
    </i>
    <i r="1">
      <x v="5"/>
      <x v="2"/>
      <x v="6"/>
      <x v="5"/>
      <x v="3"/>
      <x v="3"/>
      <x v="6"/>
    </i>
    <i r="1">
      <x v="6"/>
      <x v="1"/>
      <x v="6"/>
      <x v="4"/>
      <x v="1"/>
      <x v="2"/>
      <x v="6"/>
    </i>
    <i>
      <x v="2"/>
      <x/>
      <x v="2"/>
      <x/>
      <x v="1"/>
      <x v="2"/>
      <x v="2"/>
      <x v="5"/>
    </i>
    <i r="1">
      <x v="1"/>
      <x v="1"/>
      <x/>
      <x v="11"/>
      <x v="3"/>
      <x v="3"/>
      <x v="6"/>
    </i>
    <i r="1">
      <x v="2"/>
      <x v="4"/>
      <x v="1"/>
      <x v="12"/>
      <x v="7"/>
      <x v="4"/>
      <x v="5"/>
    </i>
    <i r="1">
      <x v="3"/>
      <x v="3"/>
      <x v="4"/>
      <x v="6"/>
      <x v="6"/>
      <x v="3"/>
      <x v="7"/>
    </i>
    <i r="1">
      <x v="4"/>
      <x/>
      <x/>
      <x/>
      <x v="1"/>
      <x v="1"/>
      <x v="2"/>
    </i>
    <i r="1">
      <x v="5"/>
      <x v="2"/>
      <x v="3"/>
      <x v="3"/>
      <x v="3"/>
      <x/>
      <x/>
    </i>
    <i r="1">
      <x v="6"/>
      <x v="1"/>
      <x v="3"/>
      <x v="4"/>
      <x v="4"/>
      <x v="3"/>
      <x v="8"/>
    </i>
    <i r="1">
      <x v="7"/>
      <x v="4"/>
      <x v="5"/>
      <x v="4"/>
      <x v="2"/>
      <x v="2"/>
      <x v="5"/>
    </i>
    <i r="1">
      <x v="8"/>
      <x v="3"/>
      <x v="5"/>
      <x v="8"/>
      <x v="6"/>
      <x v="1"/>
      <x v="9"/>
    </i>
    <i r="1">
      <x v="9"/>
      <x/>
      <x v="5"/>
      <x v="12"/>
      <x v="3"/>
      <x v="3"/>
      <x v="6"/>
    </i>
    <i>
      <x v="3"/>
      <x/>
      <x v="2"/>
      <x v="1"/>
      <x v="2"/>
      <x v="4"/>
      <x v="7"/>
      <x v="4"/>
    </i>
    <i r="1">
      <x v="1"/>
      <x v="1"/>
      <x/>
      <x v="3"/>
      <x v="6"/>
      <x v="4"/>
      <x v="10"/>
    </i>
    <i r="1">
      <x v="2"/>
      <x v="4"/>
      <x v="1"/>
      <x v="3"/>
      <x v="5"/>
      <x/>
      <x/>
    </i>
    <i r="1">
      <x v="3"/>
      <x v="3"/>
      <x v="3"/>
      <x v="4"/>
      <x v="4"/>
      <x v="3"/>
      <x v="8"/>
    </i>
    <i r="1">
      <x v="4"/>
      <x/>
      <x v="4"/>
      <x v="2"/>
      <x v="1"/>
      <x v="1"/>
      <x v="2"/>
    </i>
    <i r="1">
      <x v="5"/>
      <x v="2"/>
      <x v="4"/>
      <x v="4"/>
      <x v="3"/>
      <x v="3"/>
      <x v="6"/>
    </i>
    <i r="1">
      <x v="6"/>
      <x v="1"/>
      <x v="5"/>
      <x v="12"/>
      <x v="3"/>
      <x v="5"/>
      <x v="11"/>
    </i>
    <i r="1">
      <x v="7"/>
      <x v="4"/>
      <x v="6"/>
      <x v="4"/>
      <x v="1"/>
      <x v="1"/>
      <x v="2"/>
    </i>
    <i r="1">
      <x v="8"/>
      <x v="3"/>
      <x v="8"/>
      <x v="7"/>
      <x v="4"/>
      <x v="3"/>
      <x v="8"/>
    </i>
    <i r="1">
      <x v="9"/>
      <x/>
      <x/>
      <x v="13"/>
      <x/>
      <x v="3"/>
      <x v="4"/>
    </i>
    <i>
      <x v="4"/>
      <x/>
      <x v="2"/>
      <x/>
      <x v="4"/>
      <x v="7"/>
      <x v="5"/>
      <x v="6"/>
    </i>
    <i r="1">
      <x v="1"/>
      <x v="1"/>
      <x v="4"/>
      <x v="3"/>
      <x v="2"/>
      <x v="4"/>
      <x v="12"/>
    </i>
    <i r="1">
      <x v="2"/>
      <x v="4"/>
      <x v="5"/>
      <x v="5"/>
      <x v="4"/>
      <x v="3"/>
      <x v="8"/>
    </i>
    <i r="1">
      <x v="3"/>
      <x v="3"/>
      <x v="7"/>
      <x v="8"/>
      <x v="4"/>
      <x v="2"/>
      <x v="13"/>
    </i>
    <i r="1">
      <x v="4"/>
      <x/>
      <x v="9"/>
      <x v="5"/>
      <x/>
      <x v="2"/>
      <x v="14"/>
    </i>
    <i t="grand">
      <x/>
    </i>
  </rowItems>
  <colFields count="1">
    <field x="-2"/>
  </colFields>
  <colItems count="2">
    <i>
      <x/>
    </i>
    <i i="1">
      <x v="1"/>
    </i>
  </colItems>
  <dataFields count="2">
    <dataField name="Budget " fld="8" baseField="0" baseItem="1" numFmtId="3"/>
    <dataField name="Actual " fld="9" baseField="0" baseItem="2" numFmtId="3"/>
  </dataFields>
  <formats count="50">
    <format dxfId="61">
      <pivotArea dataOnly="0" labelOnly="1" outline="0" fieldPosition="0">
        <references count="1">
          <reference field="4294967294" count="2">
            <x v="0"/>
            <x v="1"/>
          </reference>
        </references>
      </pivotArea>
    </format>
    <format dxfId="60">
      <pivotArea field="3" type="button" dataOnly="0" labelOnly="1" outline="0" axis="axisRow" fieldPosition="3"/>
    </format>
    <format dxfId="59">
      <pivotArea field="4" type="button" dataOnly="0" labelOnly="1" outline="0" axis="axisRow" fieldPosition="5"/>
    </format>
    <format dxfId="58">
      <pivotArea field="5" type="button" dataOnly="0" labelOnly="1" outline="0" axis="axisRow" fieldPosition="4"/>
    </format>
    <format dxfId="57">
      <pivotArea field="6" type="button" dataOnly="0" labelOnly="1" outline="0" axis="axisRow" fieldPosition="6"/>
    </format>
    <format dxfId="56">
      <pivotArea field="7" type="button" dataOnly="0" labelOnly="1" outline="0" axis="axisRow" fieldPosition="7"/>
    </format>
    <format dxfId="55">
      <pivotArea field="0" type="button" dataOnly="0" labelOnly="1" outline="0" axis="axisRow" fieldPosition="0"/>
    </format>
    <format dxfId="54">
      <pivotArea field="1" type="button" dataOnly="0" labelOnly="1" outline="0" axis="axisRow" fieldPosition="1"/>
    </format>
    <format dxfId="53">
      <pivotArea field="2" type="button" dataOnly="0" labelOnly="1" outline="0" axis="axisRow" fieldPosition="2"/>
    </format>
    <format dxfId="52">
      <pivotArea field="3" type="button" dataOnly="0" labelOnly="1" outline="0" axis="axisRow" fieldPosition="3"/>
    </format>
    <format dxfId="51">
      <pivotArea field="4" type="button" dataOnly="0" labelOnly="1" outline="0" axis="axisRow" fieldPosition="5"/>
    </format>
    <format dxfId="50">
      <pivotArea field="5" type="button" dataOnly="0" labelOnly="1" outline="0" axis="axisRow" fieldPosition="4"/>
    </format>
    <format dxfId="49">
      <pivotArea field="6" type="button" dataOnly="0" labelOnly="1" outline="0" axis="axisRow" fieldPosition="6"/>
    </format>
    <format dxfId="48">
      <pivotArea field="7" type="button" dataOnly="0" labelOnly="1" outline="0" axis="axisRow" fieldPosition="7"/>
    </format>
    <format dxfId="47">
      <pivotArea dataOnly="0" labelOnly="1" outline="0" fieldPosition="0">
        <references count="1">
          <reference field="4294967294" count="2">
            <x v="0"/>
            <x v="1"/>
          </reference>
        </references>
      </pivotArea>
    </format>
    <format dxfId="46">
      <pivotArea field="0" type="button" dataOnly="0" labelOnly="1" outline="0" axis="axisRow" fieldPosition="0"/>
    </format>
    <format dxfId="45">
      <pivotArea field="1" type="button" dataOnly="0" labelOnly="1" outline="0" axis="axisRow" fieldPosition="1"/>
    </format>
    <format dxfId="44">
      <pivotArea field="2" type="button" dataOnly="0" labelOnly="1" outline="0" axis="axisRow" fieldPosition="2"/>
    </format>
    <format dxfId="43">
      <pivotArea field="3" type="button" dataOnly="0" labelOnly="1" outline="0" axis="axisRow" fieldPosition="3"/>
    </format>
    <format dxfId="42">
      <pivotArea field="4" type="button" dataOnly="0" labelOnly="1" outline="0" axis="axisRow" fieldPosition="5"/>
    </format>
    <format dxfId="41">
      <pivotArea field="5" type="button" dataOnly="0" labelOnly="1" outline="0" axis="axisRow" fieldPosition="4"/>
    </format>
    <format dxfId="40">
      <pivotArea field="6" type="button" dataOnly="0" labelOnly="1" outline="0" axis="axisRow" fieldPosition="6"/>
    </format>
    <format dxfId="39">
      <pivotArea field="7" type="button" dataOnly="0" labelOnly="1" outline="0" axis="axisRow" fieldPosition="7"/>
    </format>
    <format dxfId="38">
      <pivotArea dataOnly="0" labelOnly="1" outline="0" fieldPosition="0">
        <references count="1">
          <reference field="4294967294" count="2">
            <x v="0"/>
            <x v="1"/>
          </reference>
        </references>
      </pivotArea>
    </format>
    <format dxfId="37">
      <pivotArea field="0" type="button" dataOnly="0" labelOnly="1" outline="0" axis="axisRow" fieldPosition="0"/>
    </format>
    <format dxfId="36">
      <pivotArea field="1" type="button" dataOnly="0" labelOnly="1" outline="0" axis="axisRow" fieldPosition="1"/>
    </format>
    <format dxfId="35">
      <pivotArea field="2" type="button" dataOnly="0" labelOnly="1" outline="0" axis="axisRow" fieldPosition="2"/>
    </format>
    <format dxfId="34">
      <pivotArea field="3" type="button" dataOnly="0" labelOnly="1" outline="0" axis="axisRow" fieldPosition="3"/>
    </format>
    <format dxfId="33">
      <pivotArea field="4" type="button" dataOnly="0" labelOnly="1" outline="0" axis="axisRow" fieldPosition="5"/>
    </format>
    <format dxfId="32">
      <pivotArea field="5" type="button" dataOnly="0" labelOnly="1" outline="0" axis="axisRow" fieldPosition="4"/>
    </format>
    <format dxfId="31">
      <pivotArea field="6" type="button" dataOnly="0" labelOnly="1" outline="0" axis="axisRow" fieldPosition="6"/>
    </format>
    <format dxfId="30">
      <pivotArea field="7" type="button" dataOnly="0" labelOnly="1" outline="0" axis="axisRow" fieldPosition="7"/>
    </format>
    <format dxfId="29">
      <pivotArea dataOnly="0" labelOnly="1" outline="0" fieldPosition="0">
        <references count="1">
          <reference field="4294967294" count="2">
            <x v="0"/>
            <x v="1"/>
          </reference>
        </references>
      </pivotArea>
    </format>
    <format dxfId="28">
      <pivotArea field="0" type="button" dataOnly="0" labelOnly="1" outline="0" axis="axisRow" fieldPosition="0"/>
    </format>
    <format dxfId="27">
      <pivotArea field="1" type="button" dataOnly="0" labelOnly="1" outline="0" axis="axisRow" fieldPosition="1"/>
    </format>
    <format dxfId="26">
      <pivotArea field="2" type="button" dataOnly="0" labelOnly="1" outline="0" axis="axisRow" fieldPosition="2"/>
    </format>
    <format dxfId="25">
      <pivotArea field="3" type="button" dataOnly="0" labelOnly="1" outline="0" axis="axisRow" fieldPosition="3"/>
    </format>
    <format dxfId="24">
      <pivotArea field="4" type="button" dataOnly="0" labelOnly="1" outline="0" axis="axisRow" fieldPosition="5"/>
    </format>
    <format dxfId="23">
      <pivotArea field="5" type="button" dataOnly="0" labelOnly="1" outline="0" axis="axisRow" fieldPosition="4"/>
    </format>
    <format dxfId="22">
      <pivotArea field="6" type="button" dataOnly="0" labelOnly="1" outline="0" axis="axisRow" fieldPosition="6"/>
    </format>
    <format dxfId="21">
      <pivotArea field="7" type="button" dataOnly="0" labelOnly="1" outline="0" axis="axisRow" fieldPosition="7"/>
    </format>
    <format dxfId="20">
      <pivotArea dataOnly="0" labelOnly="1" outline="0" fieldPosition="0">
        <references count="1">
          <reference field="4294967294" count="2">
            <x v="0"/>
            <x v="1"/>
          </reference>
        </references>
      </pivotArea>
    </format>
    <format dxfId="19">
      <pivotArea field="4" type="button" dataOnly="0" labelOnly="1" outline="0" axis="axisRow" fieldPosition="5"/>
    </format>
    <format dxfId="18">
      <pivotArea field="6" type="button" dataOnly="0" labelOnly="1" outline="0" axis="axisRow" fieldPosition="6"/>
    </format>
    <format dxfId="17">
      <pivotArea field="7" type="button" dataOnly="0" labelOnly="1" outline="0" axis="axisRow" fieldPosition="7"/>
    </format>
    <format dxfId="16">
      <pivotArea dataOnly="0" labelOnly="1" grandRow="1" outline="0" fieldPosition="0"/>
    </format>
    <format dxfId="15">
      <pivotArea dataOnly="0" labelOnly="1" outline="0" fieldPosition="0">
        <references count="8">
          <reference field="0" count="1" selected="0">
            <x v="1"/>
          </reference>
          <reference field="1" count="1" selected="0">
            <x v="3"/>
          </reference>
          <reference field="2" count="1" selected="0">
            <x v="3"/>
          </reference>
          <reference field="3" count="1" selected="0">
            <x v="2"/>
          </reference>
          <reference field="4" count="1" selected="0">
            <x v="5"/>
          </reference>
          <reference field="5" count="1" selected="0">
            <x v="2"/>
          </reference>
          <reference field="6" count="1" selected="0">
            <x v="5"/>
          </reference>
          <reference field="7" count="1">
            <x v="3"/>
          </reference>
        </references>
      </pivotArea>
    </format>
    <format dxfId="14">
      <pivotArea dataOnly="0" labelOnly="1" outline="0" fieldPosition="0">
        <references count="8">
          <reference field="0" count="1" selected="0">
            <x v="2"/>
          </reference>
          <reference field="1" count="1" selected="0">
            <x v="4"/>
          </reference>
          <reference field="2" count="1" selected="0">
            <x v="0"/>
          </reference>
          <reference field="3" count="1" selected="0">
            <x v="0"/>
          </reference>
          <reference field="4" count="1" selected="0">
            <x v="1"/>
          </reference>
          <reference field="5" count="1" selected="0">
            <x v="0"/>
          </reference>
          <reference field="6" count="1" selected="0">
            <x v="1"/>
          </reference>
          <reference field="7" count="1">
            <x v="2"/>
          </reference>
        </references>
      </pivotArea>
    </format>
    <format dxfId="13">
      <pivotArea dataOnly="0" labelOnly="1" outline="0" fieldPosition="0">
        <references count="1">
          <reference field="6" count="0"/>
        </references>
      </pivotArea>
    </format>
    <format dxfId="12">
      <pivotArea dataOnly="0" labelOnly="1" outline="0" fieldPosition="0">
        <references count="1">
          <reference field="4" count="0"/>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 xr10:uid="{67259FD2-1E7C-4EC4-8B26-4EAF663DF469}" sourceName="Project">
  <pivotTables>
    <pivotTable tabId="3" name="Gantt"/>
    <pivotTable tabId="4" name="Days_Completed"/>
    <pivotTable tabId="4" name="Budget_v_Actual"/>
  </pivotTables>
  <data>
    <tabular pivotCacheId="739774749">
      <items count="5">
        <i x="4" s="1"/>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85541149-F8D2-44DB-8264-99EA277BA395}" sourceName="Manager">
  <pivotTables>
    <pivotTable tabId="3" name="Gantt"/>
    <pivotTable tabId="4" name="Budget_v_Actual"/>
    <pivotTable tabId="4" name="Days_Completed"/>
  </pivotTables>
  <data>
    <tabular pivotCacheId="739774749">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 xr10:uid="{CF1C5EB0-B233-40B5-9BA2-807F513929C5}" cache="Slicer_Project" caption="Project" columnCount="5" style="SlicerStyleLight2" rowHeight="252000"/>
  <slicer name="Manager" xr10:uid="{569AF20E-71BB-43BA-9D6A-4142E89561C6}" cache="Slicer_Manager" caption="Manager" columnCount="5" style="SlicerStyleLight2"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D3C948-3701-4929-B04F-010B6EBC2A77}" name="Table1" displayName="Table1" ref="A1:J41" totalsRowShown="0">
  <autoFilter ref="A1:J41" xr:uid="{7E21CF9F-AD78-47F7-B4FB-8E64E3714907}"/>
  <tableColumns count="10">
    <tableColumn id="1" xr3:uid="{4ADE78FA-797E-461B-818D-4E6F917859D6}" name="Project"/>
    <tableColumn id="2" xr3:uid="{F9E92030-47E5-4A86-AB73-A1AA5209CD55}" name="Task"/>
    <tableColumn id="3" xr3:uid="{643837EC-0E87-4517-8311-405E12C9047D}" name="Manager"/>
    <tableColumn id="4" xr3:uid="{D2195ACD-57B1-4029-9C54-9ACCE862FA18}" name="Start Date" dataDxfId="11"/>
    <tableColumn id="5" xr3:uid="{A5BEB9B6-A13C-4735-8C93-943512962E1A}" name="Duration"/>
    <tableColumn id="9" xr3:uid="{9A8390CA-408A-41FE-A909-4D1F9E77E3F2}" name="End Date" dataDxfId="10">
      <calculatedColumnFormula>WORKDAY.INTL(Table1[[#This Row],[Start Date]]-1,Table1[[#This Row],[Duration]],1)</calculatedColumnFormula>
    </tableColumn>
    <tableColumn id="10" xr3:uid="{06B5F73C-C916-4EC2-88F2-098623EC6F35}" name="Days completed" dataDxfId="9"/>
    <tableColumn id="6" xr3:uid="{704AC253-E86F-4A7F-BD63-4569C494A728}" name="Progress" dataDxfId="8" dataCellStyle="Percent">
      <calculatedColumnFormula>Table1[[#This Row],[Days completed]]/Table1[[#This Row],[Duration]]</calculatedColumnFormula>
    </tableColumn>
    <tableColumn id="7" xr3:uid="{459C1C51-A35C-450A-B0F0-EA7E00C33AA1}" name="Budget" dataDxfId="7"/>
    <tableColumn id="8" xr3:uid="{CC94112E-5637-4797-9BDD-BFCC8197D1AB}" name="Actual" dataDxfId="6"/>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Project Management">
      <a:dk1>
        <a:sysClr val="windowText" lastClr="000000"/>
      </a:dk1>
      <a:lt1>
        <a:sysClr val="window" lastClr="FFFFFF"/>
      </a:lt1>
      <a:dk2>
        <a:srgbClr val="335B74"/>
      </a:dk2>
      <a:lt2>
        <a:srgbClr val="DFE3E5"/>
      </a:lt2>
      <a:accent1>
        <a:srgbClr val="FF7C80"/>
      </a:accent1>
      <a:accent2>
        <a:srgbClr val="83B6B4"/>
      </a:accent2>
      <a:accent3>
        <a:srgbClr val="27CED7"/>
      </a:accent3>
      <a:accent4>
        <a:srgbClr val="42BA97"/>
      </a:accent4>
      <a:accent5>
        <a:srgbClr val="3E8853"/>
      </a:accent5>
      <a:accent6>
        <a:srgbClr val="2683C6"/>
      </a:accent6>
      <a:hlink>
        <a:srgbClr val="6EAC1C"/>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3.xml"/><Relationship Id="rId6" Type="http://schemas.microsoft.com/office/2007/relationships/slicer" Target="../slicers/slicer1.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31F74-5EFF-4E8A-B22B-18A2CB322995}">
  <sheetPr codeName="Sheet4"/>
  <dimension ref="A1:L41"/>
  <sheetViews>
    <sheetView tabSelected="1" workbookViewId="0">
      <selection activeCell="H3" sqref="H3"/>
    </sheetView>
  </sheetViews>
  <sheetFormatPr defaultRowHeight="14.5" x14ac:dyDescent="0.35"/>
  <cols>
    <col min="1" max="1" width="10" customWidth="1"/>
    <col min="2" max="2" width="11.54296875" customWidth="1"/>
    <col min="3" max="3" width="13.1796875" customWidth="1"/>
    <col min="4" max="4" width="12" style="20" bestFit="1" customWidth="1"/>
    <col min="5" max="5" width="11.7265625" customWidth="1"/>
    <col min="6" max="6" width="11.1796875" style="1" bestFit="1" customWidth="1"/>
    <col min="7" max="7" width="17.54296875" style="3" bestFit="1" customWidth="1"/>
    <col min="8" max="8" width="11.1796875" customWidth="1"/>
    <col min="9" max="10" width="10.26953125" customWidth="1"/>
    <col min="12" max="12" width="23.54296875" bestFit="1" customWidth="1"/>
  </cols>
  <sheetData>
    <row r="1" spans="1:12" x14ac:dyDescent="0.35">
      <c r="A1" t="s">
        <v>0</v>
      </c>
      <c r="B1" t="s">
        <v>1</v>
      </c>
      <c r="C1" t="s">
        <v>23</v>
      </c>
      <c r="D1" s="20" t="s">
        <v>2</v>
      </c>
      <c r="E1" t="s">
        <v>22</v>
      </c>
      <c r="F1" s="1" t="s">
        <v>24</v>
      </c>
      <c r="G1" s="3" t="s">
        <v>25</v>
      </c>
      <c r="H1" t="s">
        <v>3</v>
      </c>
      <c r="I1" t="s">
        <v>13</v>
      </c>
      <c r="J1" t="s">
        <v>14</v>
      </c>
    </row>
    <row r="2" spans="1:12" x14ac:dyDescent="0.35">
      <c r="A2" t="s">
        <v>15</v>
      </c>
      <c r="B2" t="s">
        <v>4</v>
      </c>
      <c r="C2" t="s">
        <v>35</v>
      </c>
      <c r="D2" s="1">
        <v>43878</v>
      </c>
      <c r="E2">
        <v>5</v>
      </c>
      <c r="F2" s="1">
        <f>WORKDAY.INTL(Table1[[#This Row],[Start Date]]-1,Table1[[#This Row],[Duration]],1)</f>
        <v>43882</v>
      </c>
      <c r="G2" s="3">
        <v>2</v>
      </c>
      <c r="H2" s="2">
        <f>Table1[[#This Row],[Days completed]]/Table1[[#This Row],[Duration]]</f>
        <v>0.4</v>
      </c>
      <c r="I2" s="3">
        <v>218000</v>
      </c>
      <c r="J2" s="3">
        <v>97337</v>
      </c>
      <c r="L2" s="2"/>
    </row>
    <row r="3" spans="1:12" x14ac:dyDescent="0.35">
      <c r="A3" t="s">
        <v>15</v>
      </c>
      <c r="B3" t="s">
        <v>5</v>
      </c>
      <c r="C3" t="s">
        <v>20</v>
      </c>
      <c r="D3" s="1">
        <v>43878</v>
      </c>
      <c r="E3">
        <v>6</v>
      </c>
      <c r="F3" s="1">
        <f>WORKDAY.INTL(Table1[[#This Row],[Start Date]]-1,Table1[[#This Row],[Duration]],1)</f>
        <v>43885</v>
      </c>
      <c r="G3" s="3">
        <v>3</v>
      </c>
      <c r="H3" s="2">
        <f>Table1[[#This Row],[Days completed]]/Table1[[#This Row],[Duration]]</f>
        <v>0.5</v>
      </c>
      <c r="I3" s="3">
        <v>393000</v>
      </c>
      <c r="J3" s="3">
        <v>177440</v>
      </c>
      <c r="L3" s="2"/>
    </row>
    <row r="4" spans="1:12" x14ac:dyDescent="0.35">
      <c r="A4" t="s">
        <v>15</v>
      </c>
      <c r="B4" t="s">
        <v>6</v>
      </c>
      <c r="C4" t="s">
        <v>37</v>
      </c>
      <c r="D4" s="1">
        <v>43879</v>
      </c>
      <c r="E4">
        <v>10</v>
      </c>
      <c r="F4" s="1">
        <f>WORKDAY.INTL(Table1[[#This Row],[Start Date]]-1,Table1[[#This Row],[Duration]],1)</f>
        <v>43892</v>
      </c>
      <c r="G4" s="3">
        <v>4</v>
      </c>
      <c r="H4" s="2">
        <f>Table1[[#This Row],[Days completed]]/Table1[[#This Row],[Duration]]</f>
        <v>0.4</v>
      </c>
      <c r="I4" s="3">
        <v>86000</v>
      </c>
      <c r="J4" s="3">
        <v>31046</v>
      </c>
      <c r="L4" s="2"/>
    </row>
    <row r="5" spans="1:12" x14ac:dyDescent="0.35">
      <c r="A5" t="s">
        <v>15</v>
      </c>
      <c r="B5" t="s">
        <v>7</v>
      </c>
      <c r="C5" t="s">
        <v>36</v>
      </c>
      <c r="D5" s="1">
        <v>43882</v>
      </c>
      <c r="E5">
        <v>9</v>
      </c>
      <c r="F5" s="1">
        <f>WORKDAY.INTL(Table1[[#This Row],[Start Date]]-1,Table1[[#This Row],[Duration]],1)</f>
        <v>43894</v>
      </c>
      <c r="G5" s="3">
        <v>3</v>
      </c>
      <c r="H5" s="2">
        <f>Table1[[#This Row],[Days completed]]/Table1[[#This Row],[Duration]]</f>
        <v>0.33333333333333331</v>
      </c>
      <c r="I5" s="3">
        <v>732000</v>
      </c>
      <c r="J5" s="3">
        <v>261324</v>
      </c>
      <c r="L5" s="2"/>
    </row>
    <row r="6" spans="1:12" x14ac:dyDescent="0.35">
      <c r="A6" t="s">
        <v>15</v>
      </c>
      <c r="B6" t="s">
        <v>8</v>
      </c>
      <c r="C6" t="s">
        <v>21</v>
      </c>
      <c r="D6" s="1">
        <v>43878</v>
      </c>
      <c r="E6">
        <v>4</v>
      </c>
      <c r="F6" s="1">
        <f>WORKDAY.INTL(Table1[[#This Row],[Start Date]]-1,Table1[[#This Row],[Duration]],1)</f>
        <v>43881</v>
      </c>
      <c r="G6" s="3">
        <v>1</v>
      </c>
      <c r="H6" s="2">
        <f>Table1[[#This Row],[Days completed]]/Table1[[#This Row],[Duration]]</f>
        <v>0.25</v>
      </c>
      <c r="I6" s="3">
        <v>492000</v>
      </c>
      <c r="J6" s="3">
        <v>116850</v>
      </c>
      <c r="L6" s="2"/>
    </row>
    <row r="7" spans="1:12" x14ac:dyDescent="0.35">
      <c r="A7" t="s">
        <v>15</v>
      </c>
      <c r="B7" t="s">
        <v>9</v>
      </c>
      <c r="C7" t="s">
        <v>35</v>
      </c>
      <c r="D7" s="1">
        <v>43881</v>
      </c>
      <c r="E7">
        <v>6</v>
      </c>
      <c r="F7" s="1">
        <f>WORKDAY.INTL(Table1[[#This Row],[Start Date]]-1,Table1[[#This Row],[Duration]],1)</f>
        <v>43888</v>
      </c>
      <c r="G7" s="3">
        <v>0</v>
      </c>
      <c r="H7" s="2">
        <f>Table1[[#This Row],[Days completed]]/Table1[[#This Row],[Duration]]</f>
        <v>0</v>
      </c>
      <c r="I7" s="3">
        <v>188000</v>
      </c>
      <c r="J7" s="3">
        <v>0</v>
      </c>
      <c r="L7" s="2"/>
    </row>
    <row r="8" spans="1:12" x14ac:dyDescent="0.35">
      <c r="A8" t="s">
        <v>15</v>
      </c>
      <c r="B8" t="s">
        <v>10</v>
      </c>
      <c r="C8" t="s">
        <v>20</v>
      </c>
      <c r="D8" s="1">
        <v>43881</v>
      </c>
      <c r="E8">
        <v>7</v>
      </c>
      <c r="F8" s="1">
        <f>WORKDAY.INTL(Table1[[#This Row],[Start Date]]-1,Table1[[#This Row],[Duration]],1)</f>
        <v>43889</v>
      </c>
      <c r="G8" s="3">
        <v>3</v>
      </c>
      <c r="H8" s="2">
        <f>Table1[[#This Row],[Days completed]]/Table1[[#This Row],[Duration]]</f>
        <v>0.42857142857142855</v>
      </c>
      <c r="I8" s="3">
        <v>180000</v>
      </c>
      <c r="J8" s="3">
        <v>79380</v>
      </c>
      <c r="L8" s="2"/>
    </row>
    <row r="9" spans="1:12" x14ac:dyDescent="0.35">
      <c r="A9" t="s">
        <v>15</v>
      </c>
      <c r="B9" t="s">
        <v>11</v>
      </c>
      <c r="C9" t="s">
        <v>37</v>
      </c>
      <c r="D9" s="1">
        <v>43885</v>
      </c>
      <c r="E9">
        <v>5</v>
      </c>
      <c r="F9" s="1">
        <f>WORKDAY.INTL(Table1[[#This Row],[Start Date]]-1,Table1[[#This Row],[Duration]],1)</f>
        <v>43889</v>
      </c>
      <c r="G9" s="3">
        <v>2</v>
      </c>
      <c r="H9" s="2">
        <f>Table1[[#This Row],[Days completed]]/Table1[[#This Row],[Duration]]</f>
        <v>0.4</v>
      </c>
      <c r="I9" s="3">
        <v>582000</v>
      </c>
      <c r="J9" s="3">
        <v>195231</v>
      </c>
      <c r="L9" s="2"/>
    </row>
    <row r="10" spans="1:12" x14ac:dyDescent="0.35">
      <c r="A10" t="s">
        <v>15</v>
      </c>
      <c r="B10" t="s">
        <v>12</v>
      </c>
      <c r="C10" t="s">
        <v>36</v>
      </c>
      <c r="D10" s="1">
        <v>43885</v>
      </c>
      <c r="E10">
        <v>9</v>
      </c>
      <c r="F10" s="1">
        <f>WORKDAY.INTL(Table1[[#This Row],[Start Date]]-1,Table1[[#This Row],[Duration]],1)</f>
        <v>43895</v>
      </c>
      <c r="G10" s="3">
        <v>1</v>
      </c>
      <c r="H10" s="2">
        <f>Table1[[#This Row],[Days completed]]/Table1[[#This Row],[Duration]]</f>
        <v>0.1111111111111111</v>
      </c>
      <c r="I10" s="3">
        <v>562000</v>
      </c>
      <c r="J10" s="3">
        <v>74746</v>
      </c>
      <c r="L10" s="2"/>
    </row>
    <row r="11" spans="1:12" x14ac:dyDescent="0.35">
      <c r="A11" t="s">
        <v>15</v>
      </c>
      <c r="B11" t="s">
        <v>53</v>
      </c>
      <c r="C11" t="s">
        <v>21</v>
      </c>
      <c r="D11" s="1">
        <v>43885</v>
      </c>
      <c r="E11">
        <v>6</v>
      </c>
      <c r="F11" s="1">
        <f>WORKDAY.INTL(Table1[[#This Row],[Start Date]]-1,Table1[[#This Row],[Duration]],1)</f>
        <v>43892</v>
      </c>
      <c r="G11" s="3">
        <v>3</v>
      </c>
      <c r="H11" s="2">
        <f>Table1[[#This Row],[Days completed]]/Table1[[#This Row],[Duration]]</f>
        <v>0.5</v>
      </c>
      <c r="I11" s="3">
        <v>416000</v>
      </c>
      <c r="J11" s="3">
        <v>175015</v>
      </c>
      <c r="L11" s="2"/>
    </row>
    <row r="12" spans="1:12" x14ac:dyDescent="0.35">
      <c r="A12" t="s">
        <v>16</v>
      </c>
      <c r="B12" t="s">
        <v>4</v>
      </c>
      <c r="C12" t="s">
        <v>35</v>
      </c>
      <c r="D12" s="1">
        <v>43879</v>
      </c>
      <c r="E12">
        <v>7</v>
      </c>
      <c r="F12" s="1">
        <f>WORKDAY.INTL(Table1[[#This Row],[Start Date]]-1,Table1[[#This Row],[Duration]],1)</f>
        <v>43887</v>
      </c>
      <c r="G12" s="3">
        <v>7</v>
      </c>
      <c r="H12" s="2">
        <f>Table1[[#This Row],[Days completed]]/Table1[[#This Row],[Duration]]</f>
        <v>1</v>
      </c>
      <c r="I12" s="3">
        <v>293000</v>
      </c>
      <c r="J12" s="3">
        <v>273001</v>
      </c>
      <c r="L12" s="2"/>
    </row>
    <row r="13" spans="1:12" x14ac:dyDescent="0.35">
      <c r="A13" t="s">
        <v>16</v>
      </c>
      <c r="B13" t="s">
        <v>5</v>
      </c>
      <c r="C13" t="s">
        <v>20</v>
      </c>
      <c r="D13" s="1">
        <v>43878</v>
      </c>
      <c r="E13">
        <v>9</v>
      </c>
      <c r="F13" s="1">
        <f>WORKDAY.INTL(Table1[[#This Row],[Start Date]]-1,Table1[[#This Row],[Duration]],1)</f>
        <v>43888</v>
      </c>
      <c r="G13" s="3">
        <v>4</v>
      </c>
      <c r="H13" s="2">
        <f>Table1[[#This Row],[Days completed]]/Table1[[#This Row],[Duration]]</f>
        <v>0.44444444444444442</v>
      </c>
      <c r="I13" s="3">
        <v>224000</v>
      </c>
      <c r="J13" s="3">
        <v>57910</v>
      </c>
      <c r="L13" s="2"/>
    </row>
    <row r="14" spans="1:12" x14ac:dyDescent="0.35">
      <c r="A14" t="s">
        <v>16</v>
      </c>
      <c r="B14" t="s">
        <v>6</v>
      </c>
      <c r="C14" t="s">
        <v>37</v>
      </c>
      <c r="D14" s="1">
        <v>43879</v>
      </c>
      <c r="E14">
        <v>8</v>
      </c>
      <c r="F14" s="1">
        <f>WORKDAY.INTL(Table1[[#This Row],[Start Date]]-1,Table1[[#This Row],[Duration]],1)</f>
        <v>43888</v>
      </c>
      <c r="G14" s="3">
        <v>0</v>
      </c>
      <c r="H14" s="2">
        <f>Table1[[#This Row],[Days completed]]/Table1[[#This Row],[Duration]]</f>
        <v>0</v>
      </c>
      <c r="I14" s="3">
        <v>978000</v>
      </c>
      <c r="J14" s="3">
        <v>0</v>
      </c>
      <c r="L14" s="2"/>
    </row>
    <row r="15" spans="1:12" x14ac:dyDescent="0.35">
      <c r="A15" t="s">
        <v>16</v>
      </c>
      <c r="B15" t="s">
        <v>7</v>
      </c>
      <c r="C15" t="s">
        <v>36</v>
      </c>
      <c r="D15" s="1">
        <v>43881</v>
      </c>
      <c r="E15">
        <v>7</v>
      </c>
      <c r="F15" s="1">
        <f>WORKDAY.INTL(Table1[[#This Row],[Start Date]]-1,Table1[[#This Row],[Duration]],1)</f>
        <v>43889</v>
      </c>
      <c r="G15" s="3">
        <v>3</v>
      </c>
      <c r="H15" s="2">
        <f>Table1[[#This Row],[Days completed]]/Table1[[#This Row],[Duration]]</f>
        <v>0.42857142857142855</v>
      </c>
      <c r="I15" s="3">
        <v>932000</v>
      </c>
      <c r="J15" s="3">
        <v>379157</v>
      </c>
      <c r="L15" s="2"/>
    </row>
    <row r="16" spans="1:12" x14ac:dyDescent="0.35">
      <c r="A16" t="s">
        <v>16</v>
      </c>
      <c r="B16" t="s">
        <v>8</v>
      </c>
      <c r="C16" t="s">
        <v>21</v>
      </c>
      <c r="D16" s="1">
        <v>43882</v>
      </c>
      <c r="E16">
        <v>4</v>
      </c>
      <c r="F16" s="1">
        <f>WORKDAY.INTL(Table1[[#This Row],[Start Date]]-1,Table1[[#This Row],[Duration]],1)</f>
        <v>43887</v>
      </c>
      <c r="G16" s="3">
        <v>1</v>
      </c>
      <c r="H16" s="2">
        <f>Table1[[#This Row],[Days completed]]/Table1[[#This Row],[Duration]]</f>
        <v>0.25</v>
      </c>
      <c r="I16" s="3">
        <v>854000</v>
      </c>
      <c r="J16" s="3">
        <v>322812</v>
      </c>
      <c r="L16" s="2"/>
    </row>
    <row r="17" spans="1:12" x14ac:dyDescent="0.35">
      <c r="A17" t="s">
        <v>16</v>
      </c>
      <c r="B17" t="s">
        <v>9</v>
      </c>
      <c r="C17" t="s">
        <v>35</v>
      </c>
      <c r="D17" s="1">
        <v>43882</v>
      </c>
      <c r="E17">
        <v>6</v>
      </c>
      <c r="F17" s="1">
        <f>WORKDAY.INTL(Table1[[#This Row],[Start Date]]-1,Table1[[#This Row],[Duration]],1)</f>
        <v>43889</v>
      </c>
      <c r="G17" s="3">
        <v>3</v>
      </c>
      <c r="H17" s="2">
        <f>Table1[[#This Row],[Days completed]]/Table1[[#This Row],[Duration]]</f>
        <v>0.5</v>
      </c>
      <c r="I17" s="3">
        <v>81000</v>
      </c>
      <c r="J17" s="3">
        <v>38461</v>
      </c>
      <c r="L17" s="2"/>
    </row>
    <row r="18" spans="1:12" x14ac:dyDescent="0.35">
      <c r="A18" t="s">
        <v>16</v>
      </c>
      <c r="B18" t="s">
        <v>10</v>
      </c>
      <c r="C18" t="s">
        <v>20</v>
      </c>
      <c r="D18" s="1">
        <v>43885</v>
      </c>
      <c r="E18">
        <v>6</v>
      </c>
      <c r="F18" s="1">
        <f>WORKDAY.INTL(Table1[[#This Row],[Start Date]]-1,Table1[[#This Row],[Duration]],1)</f>
        <v>43892</v>
      </c>
      <c r="G18" s="3">
        <v>5</v>
      </c>
      <c r="H18" s="2">
        <f>Table1[[#This Row],[Days completed]]/Table1[[#This Row],[Duration]]</f>
        <v>0.83333333333333337</v>
      </c>
      <c r="I18" s="3">
        <v>169000</v>
      </c>
      <c r="J18" s="3">
        <v>136468</v>
      </c>
      <c r="L18" s="2"/>
    </row>
    <row r="19" spans="1:12" x14ac:dyDescent="0.35">
      <c r="A19" t="s">
        <v>16</v>
      </c>
      <c r="B19" t="s">
        <v>11</v>
      </c>
      <c r="C19" t="s">
        <v>37</v>
      </c>
      <c r="D19" s="1">
        <v>43886</v>
      </c>
      <c r="E19">
        <v>4</v>
      </c>
      <c r="F19" s="1">
        <f>WORKDAY.INTL(Table1[[#This Row],[Start Date]]-1,Table1[[#This Row],[Duration]],1)</f>
        <v>43889</v>
      </c>
      <c r="G19" s="3">
        <v>1</v>
      </c>
      <c r="H19" s="2">
        <f>Table1[[#This Row],[Days completed]]/Table1[[#This Row],[Duration]]</f>
        <v>0.25</v>
      </c>
      <c r="I19" s="3">
        <v>61000</v>
      </c>
      <c r="J19" s="3">
        <v>12078</v>
      </c>
      <c r="L19" s="2"/>
    </row>
    <row r="20" spans="1:12" x14ac:dyDescent="0.35">
      <c r="A20" t="s">
        <v>16</v>
      </c>
      <c r="B20" t="s">
        <v>12</v>
      </c>
      <c r="C20" t="s">
        <v>36</v>
      </c>
      <c r="D20" s="1">
        <v>43888</v>
      </c>
      <c r="E20">
        <v>7</v>
      </c>
      <c r="F20" s="1">
        <f>WORKDAY.INTL(Table1[[#This Row],[Start Date]]-1,Table1[[#This Row],[Duration]],1)</f>
        <v>43896</v>
      </c>
      <c r="G20" s="3">
        <v>3</v>
      </c>
      <c r="H20" s="2">
        <f>Table1[[#This Row],[Days completed]]/Table1[[#This Row],[Duration]]</f>
        <v>0.42857142857142855</v>
      </c>
      <c r="I20" s="3">
        <v>645000</v>
      </c>
      <c r="J20" s="3">
        <v>273048</v>
      </c>
      <c r="L20" s="2"/>
    </row>
    <row r="21" spans="1:12" x14ac:dyDescent="0.35">
      <c r="A21" t="s">
        <v>16</v>
      </c>
      <c r="B21" t="s">
        <v>53</v>
      </c>
      <c r="C21" t="s">
        <v>21</v>
      </c>
      <c r="D21" s="1">
        <v>43878</v>
      </c>
      <c r="E21">
        <v>3</v>
      </c>
      <c r="F21" s="1">
        <f>WORKDAY.INTL(Table1[[#This Row],[Start Date]]-1,Table1[[#This Row],[Duration]],1)</f>
        <v>43880</v>
      </c>
      <c r="G21" s="3">
        <v>3</v>
      </c>
      <c r="H21" s="2">
        <f>Table1[[#This Row],[Days completed]]/Table1[[#This Row],[Duration]]</f>
        <v>1</v>
      </c>
      <c r="I21" s="3">
        <v>68000</v>
      </c>
      <c r="J21" s="3">
        <v>64987</v>
      </c>
      <c r="L21" s="2"/>
    </row>
    <row r="22" spans="1:12" x14ac:dyDescent="0.35">
      <c r="A22" t="s">
        <v>17</v>
      </c>
      <c r="B22" t="s">
        <v>4</v>
      </c>
      <c r="C22" t="s">
        <v>35</v>
      </c>
      <c r="D22" s="1">
        <v>43878</v>
      </c>
      <c r="E22">
        <v>10</v>
      </c>
      <c r="F22" s="1">
        <f>WORKDAY.INTL(Table1[[#This Row],[Start Date]]-1,Table1[[#This Row],[Duration]],1)</f>
        <v>43889</v>
      </c>
      <c r="G22" s="3">
        <v>5</v>
      </c>
      <c r="H22" s="2">
        <f>Table1[[#This Row],[Days completed]]/Table1[[#This Row],[Duration]]</f>
        <v>0.5</v>
      </c>
      <c r="I22" s="3">
        <v>839000</v>
      </c>
      <c r="J22" s="3">
        <v>406974</v>
      </c>
      <c r="L22" s="2"/>
    </row>
    <row r="23" spans="1:12" x14ac:dyDescent="0.35">
      <c r="A23" t="s">
        <v>17</v>
      </c>
      <c r="B23" t="s">
        <v>5</v>
      </c>
      <c r="C23" t="s">
        <v>20</v>
      </c>
      <c r="D23" s="1">
        <v>43882</v>
      </c>
      <c r="E23">
        <v>5</v>
      </c>
      <c r="F23" s="1">
        <f>WORKDAY.INTL(Table1[[#This Row],[Start Date]]-1,Table1[[#This Row],[Duration]],1)</f>
        <v>43888</v>
      </c>
      <c r="G23" s="3">
        <v>4</v>
      </c>
      <c r="H23" s="2">
        <f>Table1[[#This Row],[Days completed]]/Table1[[#This Row],[Duration]]</f>
        <v>0.8</v>
      </c>
      <c r="I23" s="3">
        <v>729000</v>
      </c>
      <c r="J23" s="3">
        <v>487139</v>
      </c>
      <c r="L23" s="2"/>
    </row>
    <row r="24" spans="1:12" x14ac:dyDescent="0.35">
      <c r="A24" t="s">
        <v>17</v>
      </c>
      <c r="B24" t="s">
        <v>6</v>
      </c>
      <c r="C24" t="s">
        <v>37</v>
      </c>
      <c r="D24" s="1">
        <v>43885</v>
      </c>
      <c r="E24">
        <v>7</v>
      </c>
      <c r="F24" s="1">
        <f>WORKDAY.INTL(Table1[[#This Row],[Start Date]]-1,Table1[[#This Row],[Duration]],1)</f>
        <v>43893</v>
      </c>
      <c r="G24" s="3">
        <v>3</v>
      </c>
      <c r="H24" s="2">
        <f>Table1[[#This Row],[Days completed]]/Table1[[#This Row],[Duration]]</f>
        <v>0.42857142857142855</v>
      </c>
      <c r="I24" s="3">
        <v>826000</v>
      </c>
      <c r="J24" s="3">
        <v>298186</v>
      </c>
      <c r="L24" s="2"/>
    </row>
    <row r="25" spans="1:12" x14ac:dyDescent="0.35">
      <c r="A25" t="s">
        <v>17</v>
      </c>
      <c r="B25" t="s">
        <v>7</v>
      </c>
      <c r="C25" t="s">
        <v>36</v>
      </c>
      <c r="D25" s="1">
        <v>43887</v>
      </c>
      <c r="E25">
        <v>7</v>
      </c>
      <c r="F25" s="1">
        <f>WORKDAY.INTL(Table1[[#This Row],[Start Date]]-1,Table1[[#This Row],[Duration]],1)</f>
        <v>43895</v>
      </c>
      <c r="G25" s="3">
        <v>2</v>
      </c>
      <c r="H25" s="2">
        <f>Table1[[#This Row],[Days completed]]/Table1[[#This Row],[Duration]]</f>
        <v>0.2857142857142857</v>
      </c>
      <c r="I25" s="3">
        <v>895000</v>
      </c>
      <c r="J25" s="3">
        <v>280583</v>
      </c>
      <c r="L25" s="2"/>
    </row>
    <row r="26" spans="1:12" x14ac:dyDescent="0.35">
      <c r="A26" t="s">
        <v>17</v>
      </c>
      <c r="B26" t="s">
        <v>8</v>
      </c>
      <c r="C26" t="s">
        <v>21</v>
      </c>
      <c r="D26" s="1">
        <v>43889</v>
      </c>
      <c r="E26">
        <v>3</v>
      </c>
      <c r="F26" s="1">
        <f>WORKDAY.INTL(Table1[[#This Row],[Start Date]]-1,Table1[[#This Row],[Duration]],1)</f>
        <v>43893</v>
      </c>
      <c r="G26" s="3">
        <v>2</v>
      </c>
      <c r="H26" s="2">
        <f>Table1[[#This Row],[Days completed]]/Table1[[#This Row],[Duration]]</f>
        <v>0.66666666666666663</v>
      </c>
      <c r="I26" s="3">
        <v>341000</v>
      </c>
      <c r="J26" s="3">
        <v>129785</v>
      </c>
      <c r="L26" s="2"/>
    </row>
    <row r="27" spans="1:12" x14ac:dyDescent="0.35">
      <c r="A27" t="s">
        <v>18</v>
      </c>
      <c r="B27" t="s">
        <v>4</v>
      </c>
      <c r="C27" t="s">
        <v>35</v>
      </c>
      <c r="D27" s="1">
        <v>43892</v>
      </c>
      <c r="E27">
        <v>9</v>
      </c>
      <c r="F27" s="1">
        <f>WORKDAY.INTL(Table1[[#This Row],[Start Date]]-1,Table1[[#This Row],[Duration]],1)</f>
        <v>43902</v>
      </c>
      <c r="G27" s="3">
        <v>8</v>
      </c>
      <c r="H27" s="2">
        <f>Table1[[#This Row],[Days completed]]/Table1[[#This Row],[Duration]]</f>
        <v>0.88888888888888884</v>
      </c>
      <c r="I27" s="3">
        <v>787000</v>
      </c>
      <c r="J27" s="3">
        <v>727188</v>
      </c>
      <c r="L27" s="2"/>
    </row>
    <row r="28" spans="1:12" x14ac:dyDescent="0.35">
      <c r="A28" t="s">
        <v>18</v>
      </c>
      <c r="B28" t="s">
        <v>5</v>
      </c>
      <c r="C28" t="s">
        <v>20</v>
      </c>
      <c r="D28" s="1">
        <v>43892</v>
      </c>
      <c r="E28">
        <v>10</v>
      </c>
      <c r="F28" s="1">
        <f>WORKDAY.INTL(Table1[[#This Row],[Start Date]]-1,Table1[[#This Row],[Duration]],1)</f>
        <v>43903</v>
      </c>
      <c r="G28" s="3">
        <v>2</v>
      </c>
      <c r="H28" s="2">
        <f>Table1[[#This Row],[Days completed]]/Table1[[#This Row],[Duration]]</f>
        <v>0.2</v>
      </c>
      <c r="I28" s="3">
        <v>228000</v>
      </c>
      <c r="J28" s="3">
        <v>47880</v>
      </c>
      <c r="L28" s="2"/>
    </row>
    <row r="29" spans="1:12" x14ac:dyDescent="0.35">
      <c r="A29" t="s">
        <v>18</v>
      </c>
      <c r="B29" t="s">
        <v>6</v>
      </c>
      <c r="C29" t="s">
        <v>37</v>
      </c>
      <c r="D29" s="1">
        <v>43878</v>
      </c>
      <c r="E29">
        <v>4</v>
      </c>
      <c r="F29" s="1">
        <f>WORKDAY.INTL(Table1[[#This Row],[Start Date]]-1,Table1[[#This Row],[Duration]],1)</f>
        <v>43881</v>
      </c>
      <c r="G29" s="3">
        <v>0</v>
      </c>
      <c r="H29" s="2">
        <f>Table1[[#This Row],[Days completed]]/Table1[[#This Row],[Duration]]</f>
        <v>0</v>
      </c>
      <c r="I29" s="3">
        <v>147000</v>
      </c>
      <c r="J29" s="3">
        <v>0</v>
      </c>
      <c r="L29" s="2"/>
    </row>
    <row r="30" spans="1:12" x14ac:dyDescent="0.35">
      <c r="A30" t="s">
        <v>18</v>
      </c>
      <c r="B30" t="s">
        <v>7</v>
      </c>
      <c r="C30" t="s">
        <v>36</v>
      </c>
      <c r="D30" s="1">
        <v>43880</v>
      </c>
      <c r="E30">
        <v>8</v>
      </c>
      <c r="F30" s="1">
        <f>WORKDAY.INTL(Table1[[#This Row],[Start Date]]-1,Table1[[#This Row],[Duration]],1)</f>
        <v>43889</v>
      </c>
      <c r="G30" s="3">
        <v>5</v>
      </c>
      <c r="H30" s="2">
        <f>Table1[[#This Row],[Days completed]]/Table1[[#This Row],[Duration]]</f>
        <v>0.625</v>
      </c>
      <c r="I30" s="3">
        <v>338000</v>
      </c>
      <c r="J30" s="3">
        <v>205123</v>
      </c>
      <c r="L30" s="2"/>
    </row>
    <row r="31" spans="1:12" x14ac:dyDescent="0.35">
      <c r="A31" t="s">
        <v>18</v>
      </c>
      <c r="B31" t="s">
        <v>8</v>
      </c>
      <c r="C31" t="s">
        <v>21</v>
      </c>
      <c r="D31" s="1">
        <v>43885</v>
      </c>
      <c r="E31">
        <v>10</v>
      </c>
      <c r="F31" s="1">
        <f>WORKDAY.INTL(Table1[[#This Row],[Start Date]]-1,Table1[[#This Row],[Duration]],1)</f>
        <v>43896</v>
      </c>
      <c r="G31" s="3">
        <v>3</v>
      </c>
      <c r="H31" s="2">
        <f>Table1[[#This Row],[Days completed]]/Table1[[#This Row],[Duration]]</f>
        <v>0.3</v>
      </c>
      <c r="I31" s="3">
        <v>857000</v>
      </c>
      <c r="J31" s="3">
        <v>305949</v>
      </c>
      <c r="L31" s="2"/>
    </row>
    <row r="32" spans="1:12" x14ac:dyDescent="0.35">
      <c r="A32" t="s">
        <v>18</v>
      </c>
      <c r="B32" t="s">
        <v>9</v>
      </c>
      <c r="C32" t="s">
        <v>35</v>
      </c>
      <c r="D32" s="1">
        <v>43886</v>
      </c>
      <c r="E32">
        <v>6</v>
      </c>
      <c r="F32" s="1">
        <f>WORKDAY.INTL(Table1[[#This Row],[Start Date]]-1,Table1[[#This Row],[Duration]],1)</f>
        <v>43893</v>
      </c>
      <c r="G32" s="3">
        <v>3</v>
      </c>
      <c r="H32" s="2">
        <f>Table1[[#This Row],[Days completed]]/Table1[[#This Row],[Duration]]</f>
        <v>0.5</v>
      </c>
      <c r="I32" s="3">
        <v>602000</v>
      </c>
      <c r="J32" s="3">
        <v>322371</v>
      </c>
      <c r="L32" s="2"/>
    </row>
    <row r="33" spans="1:12" x14ac:dyDescent="0.35">
      <c r="A33" t="s">
        <v>18</v>
      </c>
      <c r="B33" t="s">
        <v>10</v>
      </c>
      <c r="C33" t="s">
        <v>20</v>
      </c>
      <c r="D33" s="1">
        <v>43886</v>
      </c>
      <c r="E33">
        <v>4</v>
      </c>
      <c r="F33" s="1">
        <f>WORKDAY.INTL(Table1[[#This Row],[Start Date]]-1,Table1[[#This Row],[Duration]],1)</f>
        <v>43889</v>
      </c>
      <c r="G33" s="3">
        <v>2</v>
      </c>
      <c r="H33" s="2">
        <f>Table1[[#This Row],[Days completed]]/Table1[[#This Row],[Duration]]</f>
        <v>0.5</v>
      </c>
      <c r="I33" s="3">
        <v>990000</v>
      </c>
      <c r="J33" s="3">
        <v>451440</v>
      </c>
      <c r="L33" s="2"/>
    </row>
    <row r="34" spans="1:12" x14ac:dyDescent="0.35">
      <c r="A34" t="s">
        <v>19</v>
      </c>
      <c r="B34" t="s">
        <v>4</v>
      </c>
      <c r="C34" t="s">
        <v>37</v>
      </c>
      <c r="D34" s="1">
        <v>43889</v>
      </c>
      <c r="E34">
        <v>8</v>
      </c>
      <c r="F34" s="1">
        <f>WORKDAY.INTL(Table1[[#This Row],[Start Date]]-1,Table1[[#This Row],[Duration]],1)</f>
        <v>43900</v>
      </c>
      <c r="G34" s="3">
        <v>3</v>
      </c>
      <c r="H34" s="2">
        <f>Table1[[#This Row],[Days completed]]/Table1[[#This Row],[Duration]]</f>
        <v>0.375</v>
      </c>
      <c r="I34" s="3">
        <v>96000</v>
      </c>
      <c r="J34" s="3">
        <v>32256</v>
      </c>
      <c r="L34" s="2"/>
    </row>
    <row r="35" spans="1:12" x14ac:dyDescent="0.35">
      <c r="A35" t="s">
        <v>19</v>
      </c>
      <c r="B35" t="s">
        <v>5</v>
      </c>
      <c r="C35" t="s">
        <v>36</v>
      </c>
      <c r="D35" s="1">
        <v>43892</v>
      </c>
      <c r="E35">
        <v>9</v>
      </c>
      <c r="F35" s="1">
        <f>WORKDAY.INTL(Table1[[#This Row],[Start Date]]-1,Table1[[#This Row],[Duration]],1)</f>
        <v>43902</v>
      </c>
      <c r="G35" s="3">
        <v>4</v>
      </c>
      <c r="H35" s="2">
        <f>Table1[[#This Row],[Days completed]]/Table1[[#This Row],[Duration]]</f>
        <v>0.44444444444444442</v>
      </c>
      <c r="I35" s="3">
        <v>513000</v>
      </c>
      <c r="J35" s="3">
        <v>226233</v>
      </c>
      <c r="L35" s="2"/>
    </row>
    <row r="36" spans="1:12" x14ac:dyDescent="0.35">
      <c r="A36" t="s">
        <v>19</v>
      </c>
      <c r="B36" t="s">
        <v>6</v>
      </c>
      <c r="C36" t="s">
        <v>21</v>
      </c>
      <c r="D36" s="1">
        <v>43881</v>
      </c>
      <c r="E36">
        <v>5</v>
      </c>
      <c r="F36" s="1">
        <f>WORKDAY.INTL(Table1[[#This Row],[Start Date]]-1,Table1[[#This Row],[Duration]],1)</f>
        <v>43887</v>
      </c>
      <c r="G36" s="3">
        <v>3</v>
      </c>
      <c r="H36" s="2">
        <f>Table1[[#This Row],[Days completed]]/Table1[[#This Row],[Duration]]</f>
        <v>0.6</v>
      </c>
      <c r="I36" s="3">
        <v>616000</v>
      </c>
      <c r="J36" s="3">
        <v>401579</v>
      </c>
      <c r="L36" s="2"/>
    </row>
    <row r="37" spans="1:12" x14ac:dyDescent="0.35">
      <c r="A37" t="s">
        <v>19</v>
      </c>
      <c r="B37" t="s">
        <v>7</v>
      </c>
      <c r="C37" t="s">
        <v>35</v>
      </c>
      <c r="D37" s="1">
        <v>43880</v>
      </c>
      <c r="E37">
        <v>3</v>
      </c>
      <c r="F37" s="1">
        <f>WORKDAY.INTL(Table1[[#This Row],[Start Date]]-1,Table1[[#This Row],[Duration]],1)</f>
        <v>43882</v>
      </c>
      <c r="G37" s="3">
        <v>3</v>
      </c>
      <c r="H37" s="2">
        <f>Table1[[#This Row],[Days completed]]/Table1[[#This Row],[Duration]]</f>
        <v>1</v>
      </c>
      <c r="I37" s="3">
        <v>817000</v>
      </c>
      <c r="J37" s="3">
        <v>807069</v>
      </c>
      <c r="L37" s="2"/>
    </row>
    <row r="38" spans="1:12" x14ac:dyDescent="0.35">
      <c r="A38" t="s">
        <v>19</v>
      </c>
      <c r="B38" t="s">
        <v>8</v>
      </c>
      <c r="C38" t="s">
        <v>20</v>
      </c>
      <c r="D38" s="1">
        <v>43882</v>
      </c>
      <c r="E38">
        <v>7</v>
      </c>
      <c r="F38" s="1">
        <f>WORKDAY.INTL(Table1[[#This Row],[Start Date]]-1,Table1[[#This Row],[Duration]],1)</f>
        <v>43892</v>
      </c>
      <c r="G38" s="3">
        <v>3</v>
      </c>
      <c r="H38" s="2">
        <f>Table1[[#This Row],[Days completed]]/Table1[[#This Row],[Duration]]</f>
        <v>0.42857142857142855</v>
      </c>
      <c r="I38" s="3">
        <v>372000</v>
      </c>
      <c r="J38" s="3">
        <v>173166</v>
      </c>
      <c r="L38" s="2"/>
    </row>
    <row r="39" spans="1:12" x14ac:dyDescent="0.35">
      <c r="A39" t="s">
        <v>19</v>
      </c>
      <c r="B39" t="s">
        <v>9</v>
      </c>
      <c r="C39" t="s">
        <v>37</v>
      </c>
      <c r="D39" s="1">
        <v>43885</v>
      </c>
      <c r="E39">
        <v>10</v>
      </c>
      <c r="F39" s="1">
        <f>WORKDAY.INTL(Table1[[#This Row],[Start Date]]-1,Table1[[#This Row],[Duration]],1)</f>
        <v>43896</v>
      </c>
      <c r="G39" s="3">
        <v>2</v>
      </c>
      <c r="H39" s="2">
        <f>Table1[[#This Row],[Days completed]]/Table1[[#This Row],[Duration]]</f>
        <v>0.2</v>
      </c>
      <c r="I39" s="3">
        <v>50000</v>
      </c>
      <c r="J39" s="3">
        <v>8400</v>
      </c>
      <c r="L39" s="2"/>
    </row>
    <row r="40" spans="1:12" x14ac:dyDescent="0.35">
      <c r="A40" t="s">
        <v>19</v>
      </c>
      <c r="B40" t="s">
        <v>10</v>
      </c>
      <c r="C40" t="s">
        <v>36</v>
      </c>
      <c r="D40" s="1">
        <v>43885</v>
      </c>
      <c r="E40">
        <v>10</v>
      </c>
      <c r="F40" s="1">
        <f>WORKDAY.INTL(Table1[[#This Row],[Start Date]]-1,Table1[[#This Row],[Duration]],1)</f>
        <v>43896</v>
      </c>
      <c r="G40" s="3">
        <v>3</v>
      </c>
      <c r="H40" s="2">
        <f>Table1[[#This Row],[Days completed]]/Table1[[#This Row],[Duration]]</f>
        <v>0.3</v>
      </c>
      <c r="I40" s="3">
        <v>807000</v>
      </c>
      <c r="J40" s="3">
        <v>262679</v>
      </c>
      <c r="L40" s="2"/>
    </row>
    <row r="41" spans="1:12" x14ac:dyDescent="0.35">
      <c r="A41" t="s">
        <v>19</v>
      </c>
      <c r="B41" t="s">
        <v>11</v>
      </c>
      <c r="C41" t="s">
        <v>21</v>
      </c>
      <c r="D41" s="1">
        <v>43885</v>
      </c>
      <c r="E41">
        <v>3</v>
      </c>
      <c r="F41" s="1">
        <f>WORKDAY.INTL(Table1[[#This Row],[Start Date]]-1,Table1[[#This Row],[Duration]],1)</f>
        <v>43887</v>
      </c>
      <c r="G41" s="3">
        <v>0</v>
      </c>
      <c r="H41" s="2">
        <f>Table1[[#This Row],[Days completed]]/Table1[[#This Row],[Duration]]</f>
        <v>0</v>
      </c>
      <c r="I41" s="3">
        <v>691000</v>
      </c>
      <c r="J41" s="3">
        <v>0</v>
      </c>
      <c r="L41"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81747-95AA-4C14-943A-F1A16A30FB5B}">
  <sheetPr codeName="Sheet2"/>
  <dimension ref="A1:P11"/>
  <sheetViews>
    <sheetView workbookViewId="0">
      <selection activeCell="C4" sqref="C4"/>
    </sheetView>
  </sheetViews>
  <sheetFormatPr defaultRowHeight="14.5" x14ac:dyDescent="0.35"/>
  <cols>
    <col min="1" max="1" width="13.81640625" bestFit="1" customWidth="1"/>
    <col min="2" max="3" width="10.54296875" customWidth="1"/>
    <col min="4" max="4" width="7.54296875" customWidth="1"/>
    <col min="5" max="5" width="11.1796875" bestFit="1" customWidth="1"/>
    <col min="7" max="7" width="59.54296875" bestFit="1" customWidth="1"/>
    <col min="8" max="8" width="5.7265625" customWidth="1"/>
    <col min="9" max="9" width="22.1796875" bestFit="1" customWidth="1"/>
    <col min="10" max="10" width="8.26953125" customWidth="1"/>
    <col min="11" max="11" width="2" customWidth="1"/>
    <col min="12" max="12" width="15.54296875" bestFit="1" customWidth="1"/>
    <col min="14" max="14" width="11.54296875" customWidth="1"/>
    <col min="15" max="15" width="8.453125" customWidth="1"/>
    <col min="16" max="16" width="17" bestFit="1" customWidth="1"/>
  </cols>
  <sheetData>
    <row r="1" spans="1:16" s="9" customFormat="1" ht="21" customHeight="1" x14ac:dyDescent="0.35">
      <c r="A1" s="37" t="s">
        <v>45</v>
      </c>
      <c r="B1" s="32"/>
      <c r="C1" s="32"/>
      <c r="E1" s="37" t="s">
        <v>44</v>
      </c>
      <c r="F1" s="32"/>
      <c r="G1" s="32"/>
      <c r="I1" s="37" t="s">
        <v>46</v>
      </c>
      <c r="J1" s="32"/>
      <c r="K1" s="32"/>
      <c r="L1" s="32"/>
      <c r="M1" s="32"/>
      <c r="N1" s="32"/>
      <c r="P1" s="38" t="s">
        <v>39</v>
      </c>
    </row>
    <row r="2" spans="1:16" x14ac:dyDescent="0.35">
      <c r="B2" t="s">
        <v>29</v>
      </c>
      <c r="C2" t="s">
        <v>28</v>
      </c>
      <c r="E2" s="5" t="s">
        <v>38</v>
      </c>
      <c r="F2" s="6">
        <f>COUNTIF(Dashboard!H6:H51,"="&amp;0)</f>
        <v>4</v>
      </c>
      <c r="G2" s="5" t="str">
        <f ca="1">_xlfn.FORMULATEXT(F2)</f>
        <v>=COUNTIF(Dashboard!H6:H51,"="&amp;0)</v>
      </c>
      <c r="I2" s="4" t="s">
        <v>31</v>
      </c>
      <c r="L2" s="18" t="s">
        <v>50</v>
      </c>
      <c r="M2" s="35" t="s">
        <v>40</v>
      </c>
      <c r="N2" s="36" t="s">
        <v>41</v>
      </c>
      <c r="P2">
        <v>0</v>
      </c>
    </row>
    <row r="3" spans="1:16" x14ac:dyDescent="0.35">
      <c r="A3" t="s">
        <v>51</v>
      </c>
      <c r="B3" s="22">
        <v>8340291</v>
      </c>
      <c r="C3" s="22">
        <v>19695000</v>
      </c>
      <c r="E3" s="5" t="s">
        <v>33</v>
      </c>
      <c r="F3" s="6">
        <f>COUNTIFS(Dashboard!H6:H51,"&lt;&gt;"&amp;0,Dashboard!H6:H51,"&lt;"&amp;1)</f>
        <v>33</v>
      </c>
      <c r="G3" s="5" t="str">
        <f ca="1">_xlfn.FORMULATEXT(F3)</f>
        <v>=COUNTIFS(Dashboard!H6:H51,"&lt;&gt;"&amp;0,Dashboard!H6:H51,"&lt;"&amp;1)</v>
      </c>
      <c r="I3" s="5" t="s">
        <v>43</v>
      </c>
      <c r="J3">
        <v>112</v>
      </c>
      <c r="L3" t="s">
        <v>49</v>
      </c>
      <c r="M3" s="34">
        <f>J3/$J$4</f>
        <v>0.42105263157894735</v>
      </c>
      <c r="N3" s="2" t="str">
        <f ca="1">_xlfn.FORMULATEXT(M3)</f>
        <v>=J3/$J$4</v>
      </c>
    </row>
    <row r="4" spans="1:16" x14ac:dyDescent="0.35">
      <c r="A4" t="s">
        <v>52</v>
      </c>
      <c r="B4" s="2">
        <f>GETPIVOTDATA("Actual ",$B$2)/GETPIVOTDATA("Budget ",$B$2)</f>
        <v>0.42347250571210965</v>
      </c>
      <c r="C4" s="2">
        <f>1-B4</f>
        <v>0.57652749428789041</v>
      </c>
      <c r="E4" t="s">
        <v>34</v>
      </c>
      <c r="F4" s="6">
        <f>COUNTIF(Dashboard!H6:H51,"="&amp;1)</f>
        <v>3</v>
      </c>
      <c r="G4" s="5" t="str">
        <f ca="1">_xlfn.FORMULATEXT(F4)</f>
        <v>=COUNTIF(Dashboard!H6:H51,"="&amp;1)</v>
      </c>
      <c r="I4" s="5" t="s">
        <v>48</v>
      </c>
      <c r="J4">
        <v>266</v>
      </c>
      <c r="L4" t="s">
        <v>47</v>
      </c>
      <c r="M4" s="34">
        <f>1-M3</f>
        <v>0.57894736842105265</v>
      </c>
      <c r="N4" s="2" t="str">
        <f ca="1">_xlfn.FORMULATEXT(M4)</f>
        <v>=1-M3</v>
      </c>
    </row>
    <row r="5" spans="1:16" x14ac:dyDescent="0.35">
      <c r="C5" t="str">
        <f ca="1">_xlfn.FORMULATEXT(C4)</f>
        <v>=1-B4</v>
      </c>
      <c r="D5" s="2"/>
      <c r="E5" t="s">
        <v>42</v>
      </c>
      <c r="F5" s="31">
        <f>F3+F2</f>
        <v>37</v>
      </c>
      <c r="G5" s="5" t="str">
        <f ca="1">_xlfn.FORMULATEXT(F5)</f>
        <v>=F3+F2</v>
      </c>
      <c r="L5" s="2"/>
      <c r="M5" s="2"/>
      <c r="N5" s="2"/>
    </row>
    <row r="6" spans="1:16" x14ac:dyDescent="0.35">
      <c r="E6" t="s">
        <v>32</v>
      </c>
      <c r="F6" s="6">
        <f>COUNTA(Dashboard!B6:B50)</f>
        <v>40</v>
      </c>
      <c r="G6" s="5" t="str">
        <f ca="1">_xlfn.FORMULATEXT(F6)</f>
        <v>=COUNTA(Dashboard!B6:B50)</v>
      </c>
    </row>
    <row r="11" spans="1:16" x14ac:dyDescent="0.35">
      <c r="E11" s="4"/>
      <c r="F11" s="4"/>
      <c r="G11" s="4"/>
      <c r="L11" s="4"/>
      <c r="M11" s="4"/>
      <c r="N11"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4A622-392D-4C11-8CA1-FC8F5D8F121A}">
  <sheetPr codeName="Sheet1">
    <pageSetUpPr fitToPage="1"/>
  </sheetPr>
  <dimension ref="A1:BA85"/>
  <sheetViews>
    <sheetView showGridLines="0" zoomScale="85" zoomScaleNormal="85" workbookViewId="0">
      <pane ySplit="5" topLeftCell="A6" activePane="bottomLeft" state="frozen"/>
      <selection pane="bottomLeft" activeCell="P10" sqref="P10"/>
    </sheetView>
  </sheetViews>
  <sheetFormatPr defaultRowHeight="14.5" x14ac:dyDescent="0.35"/>
  <cols>
    <col min="1" max="1" width="10" customWidth="1"/>
    <col min="2" max="2" width="7.7265625" bestFit="1" customWidth="1"/>
    <col min="3" max="3" width="10.7265625" customWidth="1"/>
    <col min="4" max="4" width="12.1796875" style="7" customWidth="1"/>
    <col min="5" max="5" width="11.453125" style="6" bestFit="1" customWidth="1"/>
    <col min="6" max="6" width="11" style="7" bestFit="1" customWidth="1"/>
    <col min="7" max="7" width="13.26953125" style="6" bestFit="1" customWidth="1"/>
    <col min="8" max="8" width="10.81640625" style="13" bestFit="1" customWidth="1"/>
    <col min="9" max="9" width="10.81640625" style="3" bestFit="1" customWidth="1"/>
    <col min="10" max="10" width="10.7265625" style="3" bestFit="1" customWidth="1"/>
    <col min="11" max="28" width="7" bestFit="1" customWidth="1"/>
    <col min="29" max="36" width="7.1796875" bestFit="1" customWidth="1"/>
  </cols>
  <sheetData>
    <row r="1" spans="1:53" ht="33.75" customHeight="1" x14ac:dyDescent="0.35">
      <c r="A1" s="30" t="s">
        <v>30</v>
      </c>
      <c r="B1" s="23"/>
      <c r="C1" s="23"/>
      <c r="D1" s="24"/>
      <c r="E1" s="25"/>
      <c r="F1" s="29" t="str">
        <f>TEXT(MIN(D6:D51),"d-mmm-yy")&amp;" to "&amp;TEXT(MAX(E6:E51),"d-mmm-yy")</f>
        <v>17-Feb-20 to 13-Mar-20</v>
      </c>
      <c r="G1" s="26"/>
      <c r="H1" s="26"/>
      <c r="I1" s="27"/>
      <c r="J1" s="28"/>
      <c r="K1" s="23"/>
      <c r="L1" s="23"/>
      <c r="M1" s="23"/>
      <c r="N1" s="23"/>
      <c r="O1" s="23"/>
      <c r="P1" s="23"/>
      <c r="Q1" s="33"/>
      <c r="R1" s="23"/>
      <c r="S1" s="33"/>
      <c r="T1" s="23"/>
      <c r="U1" s="23"/>
      <c r="V1" s="23"/>
      <c r="W1" s="23"/>
      <c r="X1" s="23"/>
      <c r="Y1" s="23"/>
      <c r="Z1" s="23"/>
      <c r="AA1" s="23"/>
      <c r="AB1" s="23"/>
      <c r="AC1" s="23"/>
      <c r="AD1" s="23"/>
      <c r="AE1" s="23"/>
      <c r="AF1" s="23"/>
      <c r="AG1" s="23"/>
      <c r="AH1" s="23"/>
      <c r="AI1" s="23"/>
      <c r="AJ1" s="23"/>
    </row>
    <row r="2" spans="1:53" ht="21.75" customHeight="1" x14ac:dyDescent="0.35"/>
    <row r="3" spans="1:53" ht="21.75" customHeight="1" x14ac:dyDescent="0.35">
      <c r="D3"/>
    </row>
    <row r="4" spans="1:53" ht="25.5" customHeight="1" x14ac:dyDescent="0.35">
      <c r="B4" s="19"/>
      <c r="F4" s="6"/>
      <c r="G4" s="13"/>
    </row>
    <row r="5" spans="1:53" s="9" customFormat="1" ht="21" customHeight="1" x14ac:dyDescent="0.35">
      <c r="A5" s="15" t="s">
        <v>0</v>
      </c>
      <c r="B5" s="15" t="s">
        <v>1</v>
      </c>
      <c r="C5" s="15" t="s">
        <v>23</v>
      </c>
      <c r="D5" s="16" t="s">
        <v>2</v>
      </c>
      <c r="E5" s="16" t="s">
        <v>24</v>
      </c>
      <c r="F5" s="16" t="s">
        <v>22</v>
      </c>
      <c r="G5" s="16" t="s">
        <v>27</v>
      </c>
      <c r="H5" s="15" t="s">
        <v>3</v>
      </c>
      <c r="I5" s="17" t="s">
        <v>28</v>
      </c>
      <c r="J5" s="17" t="s">
        <v>29</v>
      </c>
      <c r="K5" s="21" cm="1">
        <f t="array" ref="K5:AJ5">_xlfn.SEQUENCE(1,26,MIN(Table1[Start Date])+Workings!P2,1)</f>
        <v>43878</v>
      </c>
      <c r="L5" s="21">
        <v>43879</v>
      </c>
      <c r="M5" s="21">
        <v>43880</v>
      </c>
      <c r="N5" s="21">
        <v>43881</v>
      </c>
      <c r="O5" s="21">
        <v>43882</v>
      </c>
      <c r="P5" s="21">
        <v>43883</v>
      </c>
      <c r="Q5" s="21">
        <v>43884</v>
      </c>
      <c r="R5" s="21">
        <v>43885</v>
      </c>
      <c r="S5" s="21">
        <v>43886</v>
      </c>
      <c r="T5" s="21">
        <v>43887</v>
      </c>
      <c r="U5" s="21">
        <v>43888</v>
      </c>
      <c r="V5" s="21">
        <v>43889</v>
      </c>
      <c r="W5" s="21">
        <v>43890</v>
      </c>
      <c r="X5" s="21">
        <v>43891</v>
      </c>
      <c r="Y5" s="21">
        <v>43892</v>
      </c>
      <c r="Z5" s="21">
        <v>43893</v>
      </c>
      <c r="AA5" s="21">
        <v>43894</v>
      </c>
      <c r="AB5" s="21">
        <v>43895</v>
      </c>
      <c r="AC5" s="21">
        <v>43896</v>
      </c>
      <c r="AD5" s="21">
        <v>43897</v>
      </c>
      <c r="AE5" s="21">
        <v>43898</v>
      </c>
      <c r="AF5" s="21">
        <v>43899</v>
      </c>
      <c r="AG5" s="21">
        <v>43900</v>
      </c>
      <c r="AH5" s="21">
        <v>43901</v>
      </c>
      <c r="AI5" s="21">
        <v>43902</v>
      </c>
      <c r="AJ5" s="21">
        <v>43903</v>
      </c>
      <c r="AK5" s="12"/>
      <c r="AL5" s="12"/>
      <c r="AM5" s="12"/>
      <c r="AN5" s="12"/>
      <c r="AO5" s="12"/>
      <c r="AP5" s="12"/>
      <c r="AQ5" s="12"/>
      <c r="AR5" s="12"/>
      <c r="AS5" s="12"/>
      <c r="AT5" s="12"/>
      <c r="AU5" s="12"/>
      <c r="AV5" s="12"/>
      <c r="AW5" s="8"/>
      <c r="AX5" s="8"/>
      <c r="AY5" s="8"/>
      <c r="AZ5" s="8"/>
      <c r="BA5" s="8"/>
    </row>
    <row r="6" spans="1:53" x14ac:dyDescent="0.35">
      <c r="A6" t="s">
        <v>19</v>
      </c>
      <c r="B6" t="s">
        <v>4</v>
      </c>
      <c r="C6" t="s">
        <v>37</v>
      </c>
      <c r="D6" s="1">
        <v>43889</v>
      </c>
      <c r="E6" s="1">
        <v>43900</v>
      </c>
      <c r="F6" s="6">
        <v>8</v>
      </c>
      <c r="G6" s="11">
        <v>3</v>
      </c>
      <c r="H6" s="10">
        <v>0.375</v>
      </c>
      <c r="I6" s="3">
        <v>96000</v>
      </c>
      <c r="J6" s="3">
        <v>32256</v>
      </c>
    </row>
    <row r="7" spans="1:53" x14ac:dyDescent="0.35">
      <c r="B7" t="s">
        <v>5</v>
      </c>
      <c r="C7" t="s">
        <v>36</v>
      </c>
      <c r="D7" s="1">
        <v>43892</v>
      </c>
      <c r="E7" s="1">
        <v>43902</v>
      </c>
      <c r="F7" s="6">
        <v>9</v>
      </c>
      <c r="G7" s="11">
        <v>4</v>
      </c>
      <c r="H7" s="10">
        <v>0.44444444444444442</v>
      </c>
      <c r="I7" s="3">
        <v>513000</v>
      </c>
      <c r="J7" s="3">
        <v>226233</v>
      </c>
    </row>
    <row r="8" spans="1:53" x14ac:dyDescent="0.35">
      <c r="B8" t="s">
        <v>6</v>
      </c>
      <c r="C8" t="s">
        <v>21</v>
      </c>
      <c r="D8" s="1">
        <v>43881</v>
      </c>
      <c r="E8" s="1">
        <v>43887</v>
      </c>
      <c r="F8" s="6">
        <v>5</v>
      </c>
      <c r="G8" s="11">
        <v>3</v>
      </c>
      <c r="H8" s="10">
        <v>0.6</v>
      </c>
      <c r="I8" s="3">
        <v>616000</v>
      </c>
      <c r="J8" s="3">
        <v>401579</v>
      </c>
    </row>
    <row r="9" spans="1:53" x14ac:dyDescent="0.35">
      <c r="B9" t="s">
        <v>7</v>
      </c>
      <c r="C9" t="s">
        <v>35</v>
      </c>
      <c r="D9" s="1">
        <v>43880</v>
      </c>
      <c r="E9" s="1">
        <v>43882</v>
      </c>
      <c r="F9" s="6">
        <v>3</v>
      </c>
      <c r="G9" s="11">
        <v>3</v>
      </c>
      <c r="H9" s="10">
        <v>1</v>
      </c>
      <c r="I9" s="3">
        <v>817000</v>
      </c>
      <c r="J9" s="3">
        <v>807069</v>
      </c>
    </row>
    <row r="10" spans="1:53" x14ac:dyDescent="0.35">
      <c r="B10" t="s">
        <v>8</v>
      </c>
      <c r="C10" t="s">
        <v>20</v>
      </c>
      <c r="D10" s="1">
        <v>43882</v>
      </c>
      <c r="E10" s="1">
        <v>43892</v>
      </c>
      <c r="F10" s="6">
        <v>7</v>
      </c>
      <c r="G10" s="11">
        <v>3</v>
      </c>
      <c r="H10" s="10">
        <v>0.42857142857142855</v>
      </c>
      <c r="I10" s="3">
        <v>372000</v>
      </c>
      <c r="J10" s="3">
        <v>173166</v>
      </c>
    </row>
    <row r="11" spans="1:53" x14ac:dyDescent="0.35">
      <c r="B11" t="s">
        <v>9</v>
      </c>
      <c r="C11" t="s">
        <v>37</v>
      </c>
      <c r="D11" s="1">
        <v>43885</v>
      </c>
      <c r="E11" s="1">
        <v>43896</v>
      </c>
      <c r="F11" s="6">
        <v>10</v>
      </c>
      <c r="G11" s="11">
        <v>2</v>
      </c>
      <c r="H11" s="10">
        <v>0.2</v>
      </c>
      <c r="I11" s="3">
        <v>50000</v>
      </c>
      <c r="J11" s="3">
        <v>8400</v>
      </c>
    </row>
    <row r="12" spans="1:53" x14ac:dyDescent="0.35">
      <c r="B12" t="s">
        <v>10</v>
      </c>
      <c r="C12" t="s">
        <v>36</v>
      </c>
      <c r="D12" s="1">
        <v>43885</v>
      </c>
      <c r="E12" s="1">
        <v>43896</v>
      </c>
      <c r="F12" s="6">
        <v>10</v>
      </c>
      <c r="G12" s="11">
        <v>3</v>
      </c>
      <c r="H12" s="10">
        <v>0.3</v>
      </c>
      <c r="I12" s="3">
        <v>807000</v>
      </c>
      <c r="J12" s="3">
        <v>262679</v>
      </c>
    </row>
    <row r="13" spans="1:53" x14ac:dyDescent="0.35">
      <c r="B13" t="s">
        <v>11</v>
      </c>
      <c r="C13" t="s">
        <v>21</v>
      </c>
      <c r="D13" s="1">
        <v>43885</v>
      </c>
      <c r="E13" s="1">
        <v>43887</v>
      </c>
      <c r="F13" s="6">
        <v>3</v>
      </c>
      <c r="G13" s="11">
        <v>0</v>
      </c>
      <c r="H13" s="10">
        <v>0</v>
      </c>
      <c r="I13" s="3">
        <v>691000</v>
      </c>
      <c r="J13" s="3">
        <v>0</v>
      </c>
    </row>
    <row r="14" spans="1:53" x14ac:dyDescent="0.35">
      <c r="A14" t="s">
        <v>18</v>
      </c>
      <c r="B14" t="s">
        <v>4</v>
      </c>
      <c r="C14" t="s">
        <v>35</v>
      </c>
      <c r="D14" s="1">
        <v>43892</v>
      </c>
      <c r="E14" s="1">
        <v>43902</v>
      </c>
      <c r="F14" s="6">
        <v>9</v>
      </c>
      <c r="G14" s="11">
        <v>8</v>
      </c>
      <c r="H14" s="10">
        <v>0.88888888888888884</v>
      </c>
      <c r="I14" s="3">
        <v>787000</v>
      </c>
      <c r="J14" s="3">
        <v>727188</v>
      </c>
    </row>
    <row r="15" spans="1:53" x14ac:dyDescent="0.35">
      <c r="B15" t="s">
        <v>5</v>
      </c>
      <c r="C15" t="s">
        <v>20</v>
      </c>
      <c r="D15" s="1">
        <v>43892</v>
      </c>
      <c r="E15" s="1">
        <v>43903</v>
      </c>
      <c r="F15" s="6">
        <v>10</v>
      </c>
      <c r="G15" s="11">
        <v>2</v>
      </c>
      <c r="H15" s="10">
        <v>0.2</v>
      </c>
      <c r="I15" s="3">
        <v>228000</v>
      </c>
      <c r="J15" s="3">
        <v>47880</v>
      </c>
    </row>
    <row r="16" spans="1:53" x14ac:dyDescent="0.35">
      <c r="B16" t="s">
        <v>6</v>
      </c>
      <c r="C16" t="s">
        <v>37</v>
      </c>
      <c r="D16" s="1">
        <v>43878</v>
      </c>
      <c r="E16" s="1">
        <v>43881</v>
      </c>
      <c r="F16" s="6">
        <v>4</v>
      </c>
      <c r="G16" s="11">
        <v>0</v>
      </c>
      <c r="H16" s="10">
        <v>0</v>
      </c>
      <c r="I16" s="3">
        <v>147000</v>
      </c>
      <c r="J16" s="3">
        <v>0</v>
      </c>
    </row>
    <row r="17" spans="1:10" x14ac:dyDescent="0.35">
      <c r="B17" t="s">
        <v>7</v>
      </c>
      <c r="C17" t="s">
        <v>36</v>
      </c>
      <c r="D17" s="1">
        <v>43880</v>
      </c>
      <c r="E17" s="1">
        <v>43889</v>
      </c>
      <c r="F17" s="6">
        <v>8</v>
      </c>
      <c r="G17" s="11">
        <v>5</v>
      </c>
      <c r="H17" s="10">
        <v>0.625</v>
      </c>
      <c r="I17" s="3">
        <v>338000</v>
      </c>
      <c r="J17" s="3">
        <v>205123</v>
      </c>
    </row>
    <row r="18" spans="1:10" x14ac:dyDescent="0.35">
      <c r="B18" t="s">
        <v>8</v>
      </c>
      <c r="C18" t="s">
        <v>21</v>
      </c>
      <c r="D18" s="1">
        <v>43885</v>
      </c>
      <c r="E18" s="1">
        <v>43896</v>
      </c>
      <c r="F18" s="6">
        <v>10</v>
      </c>
      <c r="G18" s="11">
        <v>3</v>
      </c>
      <c r="H18" s="10">
        <v>0.3</v>
      </c>
      <c r="I18" s="3">
        <v>857000</v>
      </c>
      <c r="J18" s="3">
        <v>305949</v>
      </c>
    </row>
    <row r="19" spans="1:10" x14ac:dyDescent="0.35">
      <c r="B19" t="s">
        <v>9</v>
      </c>
      <c r="C19" t="s">
        <v>35</v>
      </c>
      <c r="D19" s="1">
        <v>43886</v>
      </c>
      <c r="E19" s="1">
        <v>43893</v>
      </c>
      <c r="F19" s="6">
        <v>6</v>
      </c>
      <c r="G19" s="11">
        <v>3</v>
      </c>
      <c r="H19" s="10">
        <v>0.5</v>
      </c>
      <c r="I19" s="3">
        <v>602000</v>
      </c>
      <c r="J19" s="3">
        <v>322371</v>
      </c>
    </row>
    <row r="20" spans="1:10" x14ac:dyDescent="0.35">
      <c r="B20" t="s">
        <v>10</v>
      </c>
      <c r="C20" t="s">
        <v>20</v>
      </c>
      <c r="D20" s="1">
        <v>43886</v>
      </c>
      <c r="E20" s="1">
        <v>43889</v>
      </c>
      <c r="F20" s="6">
        <v>4</v>
      </c>
      <c r="G20" s="11">
        <v>2</v>
      </c>
      <c r="H20" s="10">
        <v>0.5</v>
      </c>
      <c r="I20" s="3">
        <v>990000</v>
      </c>
      <c r="J20" s="3">
        <v>451440</v>
      </c>
    </row>
    <row r="21" spans="1:10" x14ac:dyDescent="0.35">
      <c r="A21" t="s">
        <v>15</v>
      </c>
      <c r="B21" t="s">
        <v>4</v>
      </c>
      <c r="C21" t="s">
        <v>35</v>
      </c>
      <c r="D21" s="1">
        <v>43878</v>
      </c>
      <c r="E21" s="1">
        <v>43882</v>
      </c>
      <c r="F21" s="6">
        <v>5</v>
      </c>
      <c r="G21" s="11">
        <v>2</v>
      </c>
      <c r="H21" s="10">
        <v>0.4</v>
      </c>
      <c r="I21" s="3">
        <v>218000</v>
      </c>
      <c r="J21" s="3">
        <v>97337</v>
      </c>
    </row>
    <row r="22" spans="1:10" x14ac:dyDescent="0.35">
      <c r="B22" t="s">
        <v>5</v>
      </c>
      <c r="C22" t="s">
        <v>20</v>
      </c>
      <c r="D22" s="1">
        <v>43878</v>
      </c>
      <c r="E22" s="1">
        <v>43885</v>
      </c>
      <c r="F22" s="6">
        <v>6</v>
      </c>
      <c r="G22" s="11">
        <v>3</v>
      </c>
      <c r="H22" s="10">
        <v>0.5</v>
      </c>
      <c r="I22" s="3">
        <v>393000</v>
      </c>
      <c r="J22" s="3">
        <v>177440</v>
      </c>
    </row>
    <row r="23" spans="1:10" x14ac:dyDescent="0.35">
      <c r="B23" t="s">
        <v>6</v>
      </c>
      <c r="C23" t="s">
        <v>37</v>
      </c>
      <c r="D23" s="1">
        <v>43879</v>
      </c>
      <c r="E23" s="1">
        <v>43892</v>
      </c>
      <c r="F23" s="6">
        <v>10</v>
      </c>
      <c r="G23" s="11">
        <v>4</v>
      </c>
      <c r="H23" s="10">
        <v>0.4</v>
      </c>
      <c r="I23" s="3">
        <v>86000</v>
      </c>
      <c r="J23" s="3">
        <v>31046</v>
      </c>
    </row>
    <row r="24" spans="1:10" x14ac:dyDescent="0.35">
      <c r="B24" t="s">
        <v>7</v>
      </c>
      <c r="C24" t="s">
        <v>36</v>
      </c>
      <c r="D24" s="1">
        <v>43882</v>
      </c>
      <c r="E24" s="1">
        <v>43894</v>
      </c>
      <c r="F24" s="6">
        <v>9</v>
      </c>
      <c r="G24" s="11">
        <v>3</v>
      </c>
      <c r="H24" s="10">
        <v>0.33333333333333331</v>
      </c>
      <c r="I24" s="3">
        <v>732000</v>
      </c>
      <c r="J24" s="3">
        <v>261324</v>
      </c>
    </row>
    <row r="25" spans="1:10" x14ac:dyDescent="0.35">
      <c r="B25" t="s">
        <v>8</v>
      </c>
      <c r="C25" t="s">
        <v>21</v>
      </c>
      <c r="D25" s="1">
        <v>43878</v>
      </c>
      <c r="E25" s="1">
        <v>43881</v>
      </c>
      <c r="F25" s="6">
        <v>4</v>
      </c>
      <c r="G25" s="11">
        <v>1</v>
      </c>
      <c r="H25" s="10">
        <v>0.25</v>
      </c>
      <c r="I25" s="3">
        <v>492000</v>
      </c>
      <c r="J25" s="3">
        <v>116850</v>
      </c>
    </row>
    <row r="26" spans="1:10" x14ac:dyDescent="0.35">
      <c r="B26" t="s">
        <v>9</v>
      </c>
      <c r="C26" t="s">
        <v>35</v>
      </c>
      <c r="D26" s="1">
        <v>43881</v>
      </c>
      <c r="E26" s="1">
        <v>43888</v>
      </c>
      <c r="F26" s="6">
        <v>6</v>
      </c>
      <c r="G26" s="11">
        <v>0</v>
      </c>
      <c r="H26" s="10">
        <v>0</v>
      </c>
      <c r="I26" s="3">
        <v>188000</v>
      </c>
      <c r="J26" s="3">
        <v>0</v>
      </c>
    </row>
    <row r="27" spans="1:10" x14ac:dyDescent="0.35">
      <c r="B27" t="s">
        <v>10</v>
      </c>
      <c r="C27" t="s">
        <v>20</v>
      </c>
      <c r="D27" s="1">
        <v>43881</v>
      </c>
      <c r="E27" s="1">
        <v>43889</v>
      </c>
      <c r="F27" s="6">
        <v>7</v>
      </c>
      <c r="G27" s="11">
        <v>3</v>
      </c>
      <c r="H27" s="10">
        <v>0.42857142857142855</v>
      </c>
      <c r="I27" s="3">
        <v>180000</v>
      </c>
      <c r="J27" s="3">
        <v>79380</v>
      </c>
    </row>
    <row r="28" spans="1:10" x14ac:dyDescent="0.35">
      <c r="B28" t="s">
        <v>11</v>
      </c>
      <c r="C28" t="s">
        <v>37</v>
      </c>
      <c r="D28" s="1">
        <v>43885</v>
      </c>
      <c r="E28" s="1">
        <v>43889</v>
      </c>
      <c r="F28" s="6">
        <v>5</v>
      </c>
      <c r="G28" s="11">
        <v>2</v>
      </c>
      <c r="H28" s="10">
        <v>0.4</v>
      </c>
      <c r="I28" s="3">
        <v>582000</v>
      </c>
      <c r="J28" s="3">
        <v>195231</v>
      </c>
    </row>
    <row r="29" spans="1:10" x14ac:dyDescent="0.35">
      <c r="B29" t="s">
        <v>12</v>
      </c>
      <c r="C29" t="s">
        <v>36</v>
      </c>
      <c r="D29" s="1">
        <v>43885</v>
      </c>
      <c r="E29" s="1">
        <v>43895</v>
      </c>
      <c r="F29" s="6">
        <v>9</v>
      </c>
      <c r="G29" s="11">
        <v>1</v>
      </c>
      <c r="H29" s="10">
        <v>0.1111111111111111</v>
      </c>
      <c r="I29" s="3">
        <v>562000</v>
      </c>
      <c r="J29" s="3">
        <v>74746</v>
      </c>
    </row>
    <row r="30" spans="1:10" x14ac:dyDescent="0.35">
      <c r="B30" t="s">
        <v>53</v>
      </c>
      <c r="C30" t="s">
        <v>21</v>
      </c>
      <c r="D30" s="1">
        <v>43885</v>
      </c>
      <c r="E30" s="1">
        <v>43892</v>
      </c>
      <c r="F30" s="6">
        <v>6</v>
      </c>
      <c r="G30" s="11">
        <v>3</v>
      </c>
      <c r="H30" s="10">
        <v>0.5</v>
      </c>
      <c r="I30" s="3">
        <v>416000</v>
      </c>
      <c r="J30" s="3">
        <v>175015</v>
      </c>
    </row>
    <row r="31" spans="1:10" x14ac:dyDescent="0.35">
      <c r="A31" t="s">
        <v>16</v>
      </c>
      <c r="B31" t="s">
        <v>4</v>
      </c>
      <c r="C31" t="s">
        <v>35</v>
      </c>
      <c r="D31" s="1">
        <v>43879</v>
      </c>
      <c r="E31" s="1">
        <v>43887</v>
      </c>
      <c r="F31" s="6">
        <v>7</v>
      </c>
      <c r="G31" s="11">
        <v>7</v>
      </c>
      <c r="H31" s="10">
        <v>1</v>
      </c>
      <c r="I31" s="3">
        <v>293000</v>
      </c>
      <c r="J31" s="3">
        <v>273001</v>
      </c>
    </row>
    <row r="32" spans="1:10" x14ac:dyDescent="0.35">
      <c r="B32" t="s">
        <v>5</v>
      </c>
      <c r="C32" t="s">
        <v>20</v>
      </c>
      <c r="D32" s="1">
        <v>43878</v>
      </c>
      <c r="E32" s="1">
        <v>43888</v>
      </c>
      <c r="F32" s="6">
        <v>9</v>
      </c>
      <c r="G32" s="11">
        <v>4</v>
      </c>
      <c r="H32" s="10">
        <v>0.44444444444444442</v>
      </c>
      <c r="I32" s="3">
        <v>224000</v>
      </c>
      <c r="J32" s="3">
        <v>57910</v>
      </c>
    </row>
    <row r="33" spans="1:10" x14ac:dyDescent="0.35">
      <c r="B33" t="s">
        <v>6</v>
      </c>
      <c r="C33" t="s">
        <v>37</v>
      </c>
      <c r="D33" s="1">
        <v>43879</v>
      </c>
      <c r="E33" s="1">
        <v>43888</v>
      </c>
      <c r="F33" s="6">
        <v>8</v>
      </c>
      <c r="G33" s="11">
        <v>0</v>
      </c>
      <c r="H33" s="10">
        <v>0</v>
      </c>
      <c r="I33" s="3">
        <v>978000</v>
      </c>
      <c r="J33" s="3">
        <v>0</v>
      </c>
    </row>
    <row r="34" spans="1:10" x14ac:dyDescent="0.35">
      <c r="B34" t="s">
        <v>7</v>
      </c>
      <c r="C34" t="s">
        <v>36</v>
      </c>
      <c r="D34" s="1">
        <v>43881</v>
      </c>
      <c r="E34" s="1">
        <v>43889</v>
      </c>
      <c r="F34" s="6">
        <v>7</v>
      </c>
      <c r="G34" s="11">
        <v>3</v>
      </c>
      <c r="H34" s="10">
        <v>0.42857142857142855</v>
      </c>
      <c r="I34" s="3">
        <v>932000</v>
      </c>
      <c r="J34" s="3">
        <v>379157</v>
      </c>
    </row>
    <row r="35" spans="1:10" x14ac:dyDescent="0.35">
      <c r="B35" t="s">
        <v>8</v>
      </c>
      <c r="C35" t="s">
        <v>21</v>
      </c>
      <c r="D35" s="1">
        <v>43882</v>
      </c>
      <c r="E35" s="1">
        <v>43887</v>
      </c>
      <c r="F35" s="6">
        <v>4</v>
      </c>
      <c r="G35" s="11">
        <v>1</v>
      </c>
      <c r="H35" s="10">
        <v>0.25</v>
      </c>
      <c r="I35" s="3">
        <v>854000</v>
      </c>
      <c r="J35" s="3">
        <v>322812</v>
      </c>
    </row>
    <row r="36" spans="1:10" x14ac:dyDescent="0.35">
      <c r="B36" t="s">
        <v>9</v>
      </c>
      <c r="C36" t="s">
        <v>35</v>
      </c>
      <c r="D36" s="1">
        <v>43882</v>
      </c>
      <c r="E36" s="1">
        <v>43889</v>
      </c>
      <c r="F36" s="6">
        <v>6</v>
      </c>
      <c r="G36" s="11">
        <v>3</v>
      </c>
      <c r="H36" s="10">
        <v>0.5</v>
      </c>
      <c r="I36" s="3">
        <v>81000</v>
      </c>
      <c r="J36" s="3">
        <v>38461</v>
      </c>
    </row>
    <row r="37" spans="1:10" x14ac:dyDescent="0.35">
      <c r="B37" t="s">
        <v>10</v>
      </c>
      <c r="C37" t="s">
        <v>20</v>
      </c>
      <c r="D37" s="1">
        <v>43885</v>
      </c>
      <c r="E37" s="1">
        <v>43892</v>
      </c>
      <c r="F37" s="6">
        <v>6</v>
      </c>
      <c r="G37" s="11">
        <v>5</v>
      </c>
      <c r="H37" s="10">
        <v>0.83333333333333337</v>
      </c>
      <c r="I37" s="3">
        <v>169000</v>
      </c>
      <c r="J37" s="3">
        <v>136468</v>
      </c>
    </row>
    <row r="38" spans="1:10" x14ac:dyDescent="0.35">
      <c r="B38" t="s">
        <v>11</v>
      </c>
      <c r="C38" t="s">
        <v>37</v>
      </c>
      <c r="D38" s="1">
        <v>43886</v>
      </c>
      <c r="E38" s="1">
        <v>43889</v>
      </c>
      <c r="F38" s="6">
        <v>4</v>
      </c>
      <c r="G38" s="11">
        <v>1</v>
      </c>
      <c r="H38" s="10">
        <v>0.25</v>
      </c>
      <c r="I38" s="3">
        <v>61000</v>
      </c>
      <c r="J38" s="3">
        <v>12078</v>
      </c>
    </row>
    <row r="39" spans="1:10" x14ac:dyDescent="0.35">
      <c r="B39" t="s">
        <v>12</v>
      </c>
      <c r="C39" t="s">
        <v>36</v>
      </c>
      <c r="D39" s="1">
        <v>43888</v>
      </c>
      <c r="E39" s="1">
        <v>43896</v>
      </c>
      <c r="F39" s="6">
        <v>7</v>
      </c>
      <c r="G39" s="11">
        <v>3</v>
      </c>
      <c r="H39" s="10">
        <v>0.42857142857142855</v>
      </c>
      <c r="I39" s="3">
        <v>645000</v>
      </c>
      <c r="J39" s="3">
        <v>273048</v>
      </c>
    </row>
    <row r="40" spans="1:10" x14ac:dyDescent="0.35">
      <c r="B40" t="s">
        <v>53</v>
      </c>
      <c r="C40" t="s">
        <v>21</v>
      </c>
      <c r="D40" s="1">
        <v>43878</v>
      </c>
      <c r="E40" s="1">
        <v>43880</v>
      </c>
      <c r="F40" s="6">
        <v>3</v>
      </c>
      <c r="G40" s="11">
        <v>3</v>
      </c>
      <c r="H40" s="10">
        <v>1</v>
      </c>
      <c r="I40" s="3">
        <v>68000</v>
      </c>
      <c r="J40" s="3">
        <v>64987</v>
      </c>
    </row>
    <row r="41" spans="1:10" x14ac:dyDescent="0.35">
      <c r="A41" t="s">
        <v>17</v>
      </c>
      <c r="B41" t="s">
        <v>4</v>
      </c>
      <c r="C41" t="s">
        <v>35</v>
      </c>
      <c r="D41" s="1">
        <v>43878</v>
      </c>
      <c r="E41" s="1">
        <v>43889</v>
      </c>
      <c r="F41" s="6">
        <v>10</v>
      </c>
      <c r="G41" s="11">
        <v>5</v>
      </c>
      <c r="H41" s="10">
        <v>0.5</v>
      </c>
      <c r="I41" s="3">
        <v>839000</v>
      </c>
      <c r="J41" s="3">
        <v>406974</v>
      </c>
    </row>
    <row r="42" spans="1:10" x14ac:dyDescent="0.35">
      <c r="B42" t="s">
        <v>5</v>
      </c>
      <c r="C42" t="s">
        <v>20</v>
      </c>
      <c r="D42" s="1">
        <v>43882</v>
      </c>
      <c r="E42" s="1">
        <v>43888</v>
      </c>
      <c r="F42" s="6">
        <v>5</v>
      </c>
      <c r="G42" s="11">
        <v>4</v>
      </c>
      <c r="H42" s="10">
        <v>0.8</v>
      </c>
      <c r="I42" s="3">
        <v>729000</v>
      </c>
      <c r="J42" s="3">
        <v>487139</v>
      </c>
    </row>
    <row r="43" spans="1:10" x14ac:dyDescent="0.35">
      <c r="B43" t="s">
        <v>6</v>
      </c>
      <c r="C43" t="s">
        <v>37</v>
      </c>
      <c r="D43" s="1">
        <v>43885</v>
      </c>
      <c r="E43" s="1">
        <v>43893</v>
      </c>
      <c r="F43" s="6">
        <v>7</v>
      </c>
      <c r="G43" s="11">
        <v>3</v>
      </c>
      <c r="H43" s="10">
        <v>0.42857142857142855</v>
      </c>
      <c r="I43" s="3">
        <v>826000</v>
      </c>
      <c r="J43" s="3">
        <v>298186</v>
      </c>
    </row>
    <row r="44" spans="1:10" x14ac:dyDescent="0.35">
      <c r="B44" t="s">
        <v>7</v>
      </c>
      <c r="C44" t="s">
        <v>36</v>
      </c>
      <c r="D44" s="1">
        <v>43887</v>
      </c>
      <c r="E44" s="1">
        <v>43895</v>
      </c>
      <c r="F44" s="6">
        <v>7</v>
      </c>
      <c r="G44" s="11">
        <v>2</v>
      </c>
      <c r="H44" s="10">
        <v>0.2857142857142857</v>
      </c>
      <c r="I44" s="3">
        <v>895000</v>
      </c>
      <c r="J44" s="3">
        <v>280583</v>
      </c>
    </row>
    <row r="45" spans="1:10" x14ac:dyDescent="0.35">
      <c r="B45" t="s">
        <v>8</v>
      </c>
      <c r="C45" t="s">
        <v>21</v>
      </c>
      <c r="D45" s="1">
        <v>43889</v>
      </c>
      <c r="E45" s="1">
        <v>43893</v>
      </c>
      <c r="F45" s="6">
        <v>3</v>
      </c>
      <c r="G45" s="11">
        <v>2</v>
      </c>
      <c r="H45" s="10">
        <v>0.66666666666666663</v>
      </c>
      <c r="I45" s="3">
        <v>341000</v>
      </c>
      <c r="J45" s="3">
        <v>129785</v>
      </c>
    </row>
    <row r="46" spans="1:10" x14ac:dyDescent="0.35">
      <c r="A46" t="s">
        <v>26</v>
      </c>
      <c r="D46"/>
      <c r="E46"/>
      <c r="F46"/>
      <c r="G46"/>
      <c r="H46"/>
      <c r="I46" s="3">
        <v>19695000</v>
      </c>
      <c r="J46" s="3">
        <v>8340291</v>
      </c>
    </row>
    <row r="47" spans="1:10" x14ac:dyDescent="0.35">
      <c r="H47" s="14"/>
    </row>
    <row r="48" spans="1:10" x14ac:dyDescent="0.35">
      <c r="H48" s="14"/>
    </row>
    <row r="49" spans="8:8" x14ac:dyDescent="0.35">
      <c r="H49" s="14"/>
    </row>
    <row r="50" spans="8:8" x14ac:dyDescent="0.35">
      <c r="H50" s="14"/>
    </row>
    <row r="51" spans="8:8" x14ac:dyDescent="0.35">
      <c r="H51" s="14"/>
    </row>
    <row r="52" spans="8:8" x14ac:dyDescent="0.35">
      <c r="H52" s="14"/>
    </row>
    <row r="53" spans="8:8" x14ac:dyDescent="0.35">
      <c r="H53" s="14"/>
    </row>
    <row r="54" spans="8:8" x14ac:dyDescent="0.35">
      <c r="H54" s="14"/>
    </row>
    <row r="55" spans="8:8" x14ac:dyDescent="0.35">
      <c r="H55" s="14"/>
    </row>
    <row r="56" spans="8:8" x14ac:dyDescent="0.35">
      <c r="H56" s="14"/>
    </row>
    <row r="57" spans="8:8" x14ac:dyDescent="0.35">
      <c r="H57" s="14"/>
    </row>
    <row r="58" spans="8:8" x14ac:dyDescent="0.35">
      <c r="H58" s="14"/>
    </row>
    <row r="59" spans="8:8" x14ac:dyDescent="0.35">
      <c r="H59" s="14"/>
    </row>
    <row r="60" spans="8:8" x14ac:dyDescent="0.35">
      <c r="H60" s="14"/>
    </row>
    <row r="61" spans="8:8" x14ac:dyDescent="0.35">
      <c r="H61" s="14"/>
    </row>
    <row r="62" spans="8:8" x14ac:dyDescent="0.35">
      <c r="H62" s="14"/>
    </row>
    <row r="63" spans="8:8" x14ac:dyDescent="0.35">
      <c r="H63" s="14"/>
    </row>
    <row r="64" spans="8:8" x14ac:dyDescent="0.35">
      <c r="H64" s="14"/>
    </row>
    <row r="65" spans="8:8" x14ac:dyDescent="0.35">
      <c r="H65" s="14"/>
    </row>
    <row r="66" spans="8:8" x14ac:dyDescent="0.35">
      <c r="H66" s="14"/>
    </row>
    <row r="67" spans="8:8" x14ac:dyDescent="0.35">
      <c r="H67" s="14"/>
    </row>
    <row r="68" spans="8:8" x14ac:dyDescent="0.35">
      <c r="H68" s="14"/>
    </row>
    <row r="69" spans="8:8" x14ac:dyDescent="0.35">
      <c r="H69" s="14"/>
    </row>
    <row r="70" spans="8:8" x14ac:dyDescent="0.35">
      <c r="H70" s="14"/>
    </row>
    <row r="71" spans="8:8" x14ac:dyDescent="0.35">
      <c r="H71" s="14"/>
    </row>
    <row r="72" spans="8:8" x14ac:dyDescent="0.35">
      <c r="H72" s="14"/>
    </row>
    <row r="73" spans="8:8" x14ac:dyDescent="0.35">
      <c r="H73" s="14"/>
    </row>
    <row r="74" spans="8:8" x14ac:dyDescent="0.35">
      <c r="H74" s="14"/>
    </row>
    <row r="75" spans="8:8" x14ac:dyDescent="0.35">
      <c r="H75" s="14"/>
    </row>
    <row r="76" spans="8:8" x14ac:dyDescent="0.35">
      <c r="H76" s="14"/>
    </row>
    <row r="77" spans="8:8" x14ac:dyDescent="0.35">
      <c r="H77" s="14"/>
    </row>
    <row r="78" spans="8:8" x14ac:dyDescent="0.35">
      <c r="H78" s="14"/>
    </row>
    <row r="79" spans="8:8" x14ac:dyDescent="0.35">
      <c r="H79" s="14"/>
    </row>
    <row r="80" spans="8:8" x14ac:dyDescent="0.35">
      <c r="H80" s="14"/>
    </row>
    <row r="81" spans="8:8" x14ac:dyDescent="0.35">
      <c r="H81" s="14"/>
    </row>
    <row r="82" spans="8:8" x14ac:dyDescent="0.35">
      <c r="H82" s="14"/>
    </row>
    <row r="83" spans="8:8" x14ac:dyDescent="0.35">
      <c r="H83" s="14"/>
    </row>
    <row r="84" spans="8:8" x14ac:dyDescent="0.35">
      <c r="H84" s="14"/>
    </row>
    <row r="85" spans="8:8" x14ac:dyDescent="0.35">
      <c r="H85" s="14"/>
    </row>
  </sheetData>
  <conditionalFormatting sqref="H6:H51">
    <cfRule type="dataBar" priority="5">
      <dataBar>
        <cfvo type="min"/>
        <cfvo type="max"/>
        <color theme="5" tint="0.39997558519241921"/>
      </dataBar>
      <extLst>
        <ext xmlns:x14="http://schemas.microsoft.com/office/spreadsheetml/2009/9/main" uri="{B025F937-C7B1-47D3-B67F-A62EFF666E3E}">
          <x14:id>{00000000-000E-0000-0000-000002000000}</x14:id>
        </ext>
      </extLst>
    </cfRule>
  </conditionalFormatting>
  <conditionalFormatting sqref="K6:AJ51">
    <cfRule type="expression" dxfId="5" priority="2" stopIfTrue="1">
      <formula>$A6="Grand Total"</formula>
    </cfRule>
    <cfRule type="expression" dxfId="4" priority="3" stopIfTrue="1">
      <formula>AND(WEEKDAY(K$5,2)&gt;5,$B6&lt;&gt;"")</formula>
    </cfRule>
    <cfRule type="expression" dxfId="3" priority="4">
      <formula>AND(K$5&gt;=$D6,WORKDAY.INTL($D6,$G6,1)-1&gt;=K$5)</formula>
    </cfRule>
    <cfRule type="expression" dxfId="2" priority="6" stopIfTrue="1">
      <formula>AND(K$5&gt;=WORKDAY.INTL($D6,$G6,1),$H6=0,K$5&lt;=$E6)</formula>
    </cfRule>
    <cfRule type="expression" dxfId="1" priority="7">
      <formula>AND(K$5&gt;=WORKDAY.INTL($D6,$G6,1),$H6&lt;&gt;1,K$5&lt;=$E6)</formula>
    </cfRule>
  </conditionalFormatting>
  <conditionalFormatting sqref="K5:AQ5">
    <cfRule type="expression" dxfId="0" priority="8">
      <formula>K$5&lt;&gt;""</formula>
    </cfRule>
  </conditionalFormatting>
  <pageMargins left="0.14000000000000001" right="0.12" top="0.3" bottom="0.12" header="0.3" footer="0.3"/>
  <pageSetup paperSize="9" scale="7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1025" r:id="rId5" name="Scroll Bar 1">
              <controlPr defaultSize="0" autoPict="0">
                <anchor moveWithCells="1">
                  <from>
                    <xdr:col>7</xdr:col>
                    <xdr:colOff>546100</xdr:colOff>
                    <xdr:row>0</xdr:row>
                    <xdr:rowOff>95250</xdr:rowOff>
                  </from>
                  <to>
                    <xdr:col>9</xdr:col>
                    <xdr:colOff>647700</xdr:colOff>
                    <xdr:row>0</xdr:row>
                    <xdr:rowOff>336550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0000000-000E-0000-0000-000002000000}">
            <x14:dataBar minLength="0" maxLength="100" gradient="0">
              <x14:cfvo type="autoMin"/>
              <x14:cfvo type="autoMax"/>
              <x14:negativeFillColor rgb="FFFF0000"/>
              <x14:axisColor rgb="FF000000"/>
            </x14:dataBar>
          </x14:cfRule>
          <xm:sqref>H6:H51</xm:sqref>
        </x14:conditionalFormatting>
      </x14:conditionalFormattings>
    </ex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200A517-D961-4037-909A-5DFE49EF191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vt:lpstr>
      <vt:lpstr>Workings</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Mynda Treacy</dc:creator>
  <cp:lastModifiedBy>Avirup Das</cp:lastModifiedBy>
  <cp:lastPrinted>2020-03-13T06:15:47Z</cp:lastPrinted>
  <dcterms:created xsi:type="dcterms:W3CDTF">2019-08-20T08:51:45Z</dcterms:created>
  <dcterms:modified xsi:type="dcterms:W3CDTF">2026-06-18T04:33:11Z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 id">
    <vt:lpwstr>02b84695-4a78-46f7-82bd-1e46fd6e4c51</vt:lpwstr>
  </property>
  <property fmtid="{D5CDD505-2E9C-101B-9397-08002B2CF9AE}" pid="3" name="Workbook type">
    <vt:lpwstr>Custom</vt:lpwstr>
  </property>
  <property fmtid="{D5CDD505-2E9C-101B-9397-08002B2CF9AE}" pid="4" name="Workbook version">
    <vt:lpwstr>Custom</vt:lpwstr>
  </property>
</Properties>
</file>